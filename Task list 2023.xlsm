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esterovs_family\Documents\"/>
    </mc:Choice>
  </mc:AlternateContent>
  <xr:revisionPtr revIDLastSave="0" documentId="13_ncr:1_{D209E65B-0422-4527-9083-F4DC3BBD7295}" xr6:coauthVersionLast="45" xr6:coauthVersionMax="47" xr10:uidLastSave="{00000000-0000-0000-0000-000000000000}"/>
  <bookViews>
    <workbookView xWindow="75" yWindow="45" windowWidth="26310" windowHeight="14820" xr2:uid="{00000000-000D-0000-FFFF-FFFF00000000}"/>
  </bookViews>
  <sheets>
    <sheet name="Список дел" sheetId="15" r:id="rId1"/>
  </sheets>
  <functionGroups builtInGroupCount="19"/>
  <definedNames>
    <definedName name="_xlnm._FilterDatabase" localSheetId="0" hidden="1">'Список дел'!$I$1:$Q$1</definedName>
    <definedName name="_xlnm.Print_Area" localSheetId="0">'Список дел'!$H$1:$R$31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Z10" i="15" l="1"/>
  <c r="Z15" i="15"/>
  <c r="Z16" i="15"/>
  <c r="Z17" i="15"/>
  <c r="Z18" i="15"/>
  <c r="Z19" i="15"/>
  <c r="Z20" i="15"/>
  <c r="Z21" i="15"/>
  <c r="Z22" i="15"/>
  <c r="Z27" i="15"/>
  <c r="Z28" i="15"/>
  <c r="Z30" i="15"/>
  <c r="Z31" i="15"/>
  <c r="Z32" i="15"/>
  <c r="Z33" i="15"/>
  <c r="Z34" i="15"/>
  <c r="Z35" i="15"/>
  <c r="Z36" i="15"/>
  <c r="Z37" i="15"/>
  <c r="Z38" i="15"/>
  <c r="Z39" i="15"/>
  <c r="Z40" i="15"/>
  <c r="Z41" i="15"/>
  <c r="Z42" i="15"/>
  <c r="Z43" i="15"/>
  <c r="Z44" i="15"/>
  <c r="Z45" i="15"/>
  <c r="Z46" i="15"/>
  <c r="Z47" i="15"/>
  <c r="Z48" i="15"/>
  <c r="Z49" i="15"/>
  <c r="Z50" i="15"/>
  <c r="Z51" i="15"/>
  <c r="Z52" i="15"/>
  <c r="Z53" i="15"/>
  <c r="Z54" i="15"/>
  <c r="Z55" i="15"/>
  <c r="Z56" i="15"/>
  <c r="Z57" i="15"/>
  <c r="Z58" i="15"/>
  <c r="Z59" i="15"/>
  <c r="Z60" i="15"/>
  <c r="Z61" i="15"/>
  <c r="Z62" i="15"/>
  <c r="Z63" i="15"/>
  <c r="Z64" i="15"/>
  <c r="Z65" i="15"/>
  <c r="Z66" i="15"/>
  <c r="Z67" i="15"/>
  <c r="Z68" i="15"/>
  <c r="Z69" i="15"/>
  <c r="Z70" i="15"/>
  <c r="Z71" i="15"/>
  <c r="Z72" i="15"/>
  <c r="Z73" i="15"/>
  <c r="Z74" i="15"/>
  <c r="Z75" i="15"/>
  <c r="Z76" i="15"/>
  <c r="Z77" i="15"/>
  <c r="Z78" i="15"/>
  <c r="Z79" i="15"/>
  <c r="Z80" i="15"/>
  <c r="Z81" i="15"/>
  <c r="Z82" i="15"/>
  <c r="Z83" i="15"/>
  <c r="Z84" i="15"/>
  <c r="Z85" i="15"/>
  <c r="Z86" i="15"/>
  <c r="Z87" i="15"/>
  <c r="Z88" i="15"/>
  <c r="Z89" i="15"/>
  <c r="Z90" i="15"/>
  <c r="Z91" i="15"/>
  <c r="Z92" i="15"/>
  <c r="Z93" i="15"/>
  <c r="Z94" i="15"/>
  <c r="Z95" i="15"/>
  <c r="Z96" i="15"/>
  <c r="Z97" i="15"/>
  <c r="Z98" i="15"/>
  <c r="Z99" i="15"/>
  <c r="Z100" i="15"/>
  <c r="Z101" i="15"/>
  <c r="Z102" i="15"/>
  <c r="Z103" i="15"/>
  <c r="Z104" i="15"/>
  <c r="Z105" i="15"/>
  <c r="Z106" i="15"/>
  <c r="Z107" i="15"/>
  <c r="Z108" i="15"/>
  <c r="Z109" i="15"/>
  <c r="Z110" i="15"/>
  <c r="Z111" i="15"/>
  <c r="Z112" i="15"/>
  <c r="Z113" i="15"/>
  <c r="Z114" i="15"/>
  <c r="Z115" i="15"/>
  <c r="Z116" i="15"/>
  <c r="Z117" i="15"/>
  <c r="Z118" i="15"/>
  <c r="Z119" i="15"/>
  <c r="Z120" i="15"/>
  <c r="Z121" i="15"/>
  <c r="Z122" i="15"/>
  <c r="Z123" i="15"/>
  <c r="Z124" i="15"/>
  <c r="Z125" i="15"/>
  <c r="Z126" i="15"/>
  <c r="Z127" i="15"/>
  <c r="Z128" i="15"/>
  <c r="Z129" i="15"/>
  <c r="Z130" i="15"/>
  <c r="Z131" i="15"/>
  <c r="Z132" i="15"/>
  <c r="Z133" i="15"/>
  <c r="Z134" i="15"/>
  <c r="Z135" i="15"/>
  <c r="Z136" i="15"/>
  <c r="Z137" i="15"/>
  <c r="Z138" i="15"/>
  <c r="Z139" i="15"/>
  <c r="Z140" i="15"/>
  <c r="Z141" i="15"/>
  <c r="Z142" i="15"/>
  <c r="Z143" i="15"/>
  <c r="Z144" i="15"/>
  <c r="Z145" i="15"/>
  <c r="Z146" i="15"/>
  <c r="Z147" i="15"/>
  <c r="Z148" i="15"/>
  <c r="Z149" i="15"/>
  <c r="Z150" i="15"/>
  <c r="Z151" i="15"/>
  <c r="Z152" i="15"/>
  <c r="Z153" i="15"/>
  <c r="Z154" i="15"/>
  <c r="Z155" i="15"/>
  <c r="Z156" i="15"/>
  <c r="Z157" i="15"/>
  <c r="Z158" i="15"/>
  <c r="Z159" i="15"/>
  <c r="Z160" i="15"/>
  <c r="Z161" i="15"/>
  <c r="Z162" i="15"/>
  <c r="Z163" i="15"/>
  <c r="Z164" i="15"/>
  <c r="Z165" i="15"/>
  <c r="Z166" i="15"/>
  <c r="Z167" i="15"/>
  <c r="Z168" i="15"/>
  <c r="Z169" i="15"/>
  <c r="Z170" i="15"/>
  <c r="Z171" i="15"/>
  <c r="Z172" i="15"/>
  <c r="Z173" i="15"/>
  <c r="Z174" i="15"/>
  <c r="Z175" i="15"/>
  <c r="Z176" i="15"/>
  <c r="Z177" i="15"/>
  <c r="Z178" i="15"/>
  <c r="Z179" i="15"/>
  <c r="Z180" i="15"/>
  <c r="Z181" i="15"/>
  <c r="Z182" i="15"/>
  <c r="Z183" i="15"/>
  <c r="Z184" i="15"/>
  <c r="Z185" i="15"/>
  <c r="Z186" i="15"/>
  <c r="Z187" i="15"/>
  <c r="Z188" i="15"/>
  <c r="Z189" i="15"/>
  <c r="Z190" i="15"/>
  <c r="Z191" i="15"/>
  <c r="Z192" i="15"/>
  <c r="Z193" i="15"/>
  <c r="Z194" i="15"/>
  <c r="Z195" i="15"/>
  <c r="Z196" i="15"/>
  <c r="Z197" i="15"/>
  <c r="Z198" i="15"/>
  <c r="Z199" i="15"/>
  <c r="Z14" i="15"/>
  <c r="Z11" i="15"/>
  <c r="Z7" i="15"/>
  <c r="Z29" i="15"/>
  <c r="Z23" i="15"/>
  <c r="Z12" i="15"/>
  <c r="Z26" i="15"/>
  <c r="Z13" i="15"/>
  <c r="Z24" i="15"/>
  <c r="Z9" i="15"/>
  <c r="Z8" i="15"/>
  <c r="Z25" i="15"/>
  <c r="Z2" i="15"/>
  <c r="Z6" i="15"/>
  <c r="Z5" i="15"/>
  <c r="Z4" i="15"/>
  <c r="Z3" i="15"/>
  <c r="A3" i="15" l="1"/>
  <c r="A4" i="15"/>
  <c r="A5" i="15"/>
  <c r="A6" i="15"/>
  <c r="A7" i="15"/>
  <c r="A9" i="15"/>
  <c r="A11" i="15"/>
  <c r="A12" i="15"/>
  <c r="A13" i="15"/>
  <c r="A14" i="15"/>
  <c r="A15" i="15"/>
  <c r="A17" i="15"/>
  <c r="A18" i="15"/>
  <c r="A19" i="15"/>
  <c r="A20" i="15"/>
  <c r="A21" i="15"/>
  <c r="A23" i="15"/>
  <c r="A24" i="15"/>
  <c r="A25" i="15"/>
  <c r="A26" i="15"/>
  <c r="A27" i="15"/>
  <c r="A29" i="15"/>
  <c r="A30" i="15"/>
  <c r="A31" i="15"/>
  <c r="A32" i="15"/>
  <c r="A35" i="15"/>
  <c r="A36" i="15"/>
  <c r="A38" i="15"/>
  <c r="A40" i="15"/>
  <c r="A42" i="15"/>
  <c r="A44" i="15"/>
  <c r="A45" i="15"/>
  <c r="A46" i="15"/>
  <c r="A48" i="15"/>
  <c r="A50" i="15"/>
  <c r="A52" i="15"/>
  <c r="A53" i="15"/>
  <c r="A54" i="15"/>
  <c r="A55" i="15"/>
  <c r="A56" i="15"/>
  <c r="A58" i="15"/>
  <c r="A59" i="15"/>
  <c r="A60" i="15"/>
  <c r="H60" i="15"/>
  <c r="A61" i="15"/>
  <c r="H61" i="15"/>
  <c r="A62" i="15"/>
  <c r="H62" i="15"/>
  <c r="A63" i="15"/>
  <c r="H63" i="15"/>
  <c r="A64" i="15"/>
  <c r="H64" i="15"/>
  <c r="A65" i="15"/>
  <c r="H65" i="15"/>
  <c r="A66" i="15"/>
  <c r="H66" i="15"/>
  <c r="A67" i="15"/>
  <c r="H67" i="15"/>
  <c r="A68" i="15"/>
  <c r="H68" i="15"/>
  <c r="A69" i="15"/>
  <c r="H69" i="15"/>
  <c r="A70" i="15"/>
  <c r="H70" i="15"/>
  <c r="A71" i="15"/>
  <c r="H71" i="15"/>
  <c r="A72" i="15"/>
  <c r="H72" i="15"/>
  <c r="A73" i="15"/>
  <c r="H73" i="15"/>
  <c r="A74" i="15"/>
  <c r="H74" i="15"/>
  <c r="A75" i="15"/>
  <c r="H75" i="15"/>
  <c r="A76" i="15"/>
  <c r="H76" i="15"/>
  <c r="A77" i="15"/>
  <c r="H77" i="15"/>
  <c r="A78" i="15"/>
  <c r="H78" i="15"/>
  <c r="A79" i="15"/>
  <c r="H79" i="15"/>
  <c r="A80" i="15"/>
  <c r="H80" i="15"/>
  <c r="A81" i="15"/>
  <c r="H81" i="15"/>
  <c r="A82" i="15"/>
  <c r="H82" i="15"/>
  <c r="A83" i="15"/>
  <c r="H83" i="15"/>
  <c r="A84" i="15"/>
  <c r="H84" i="15"/>
  <c r="A85" i="15"/>
  <c r="H85" i="15"/>
  <c r="A86" i="15"/>
  <c r="H86" i="15"/>
  <c r="A87" i="15"/>
  <c r="H87" i="15"/>
  <c r="A88" i="15"/>
  <c r="H88" i="15"/>
  <c r="A89" i="15"/>
  <c r="H89" i="15"/>
  <c r="A90" i="15"/>
  <c r="H90" i="15"/>
  <c r="A91" i="15"/>
  <c r="H91" i="15"/>
  <c r="A92" i="15"/>
  <c r="H92" i="15"/>
  <c r="A93" i="15"/>
  <c r="H93" i="15"/>
  <c r="A94" i="15"/>
  <c r="H94" i="15"/>
  <c r="A95" i="15"/>
  <c r="H95" i="15"/>
  <c r="A96" i="15"/>
  <c r="H96" i="15"/>
  <c r="A97" i="15"/>
  <c r="H97" i="15"/>
  <c r="A98" i="15"/>
  <c r="H98" i="15"/>
  <c r="A99" i="15"/>
  <c r="H99" i="15"/>
  <c r="A100" i="15"/>
  <c r="H100" i="15"/>
  <c r="A101" i="15"/>
  <c r="H101" i="15"/>
  <c r="A102" i="15"/>
  <c r="H102" i="15"/>
  <c r="A103" i="15"/>
  <c r="H103" i="15"/>
  <c r="A104" i="15"/>
  <c r="H104" i="15"/>
  <c r="A105" i="15"/>
  <c r="H105" i="15"/>
  <c r="A106" i="15"/>
  <c r="H106" i="15"/>
  <c r="A107" i="15"/>
  <c r="H107" i="15"/>
  <c r="A108" i="15"/>
  <c r="H108" i="15"/>
  <c r="A109" i="15"/>
  <c r="H109" i="15"/>
  <c r="A110" i="15"/>
  <c r="H110" i="15"/>
  <c r="A111" i="15"/>
  <c r="H111" i="15"/>
  <c r="A112" i="15"/>
  <c r="H112" i="15"/>
  <c r="A113" i="15"/>
  <c r="H113" i="15"/>
  <c r="A114" i="15"/>
  <c r="H114" i="15"/>
  <c r="A115" i="15"/>
  <c r="H115" i="15"/>
  <c r="A116" i="15"/>
  <c r="H116" i="15"/>
  <c r="A117" i="15"/>
  <c r="H117" i="15"/>
  <c r="A118" i="15"/>
  <c r="H118" i="15"/>
  <c r="A119" i="15"/>
  <c r="H119" i="15"/>
  <c r="A120" i="15"/>
  <c r="H120" i="15"/>
  <c r="A121" i="15"/>
  <c r="H121" i="15"/>
  <c r="A122" i="15"/>
  <c r="H122" i="15"/>
  <c r="A123" i="15"/>
  <c r="H123" i="15"/>
  <c r="A124" i="15"/>
  <c r="H124" i="15"/>
  <c r="A125" i="15"/>
  <c r="H125" i="15"/>
  <c r="A126" i="15"/>
  <c r="H126" i="15"/>
  <c r="A127" i="15"/>
  <c r="H127" i="15"/>
  <c r="A128" i="15"/>
  <c r="H128" i="15"/>
  <c r="A129" i="15"/>
  <c r="H129" i="15"/>
  <c r="A130" i="15"/>
  <c r="H130" i="15"/>
  <c r="A131" i="15"/>
  <c r="H131" i="15"/>
  <c r="A132" i="15"/>
  <c r="H132" i="15"/>
  <c r="A133" i="15"/>
  <c r="H133" i="15"/>
  <c r="A134" i="15"/>
  <c r="H134" i="15"/>
  <c r="A135" i="15"/>
  <c r="H135" i="15"/>
  <c r="A136" i="15"/>
  <c r="H136" i="15"/>
  <c r="A137" i="15"/>
  <c r="H137" i="15"/>
  <c r="A138" i="15"/>
  <c r="H138" i="15"/>
  <c r="A139" i="15"/>
  <c r="H139" i="15"/>
  <c r="A140" i="15"/>
  <c r="H140" i="15"/>
  <c r="A141" i="15"/>
  <c r="H141" i="15"/>
  <c r="A142" i="15"/>
  <c r="H142" i="15"/>
  <c r="A143" i="15"/>
  <c r="H143" i="15"/>
  <c r="A144" i="15"/>
  <c r="H144" i="15"/>
  <c r="A145" i="15"/>
  <c r="H145" i="15"/>
  <c r="A146" i="15"/>
  <c r="H146" i="15"/>
  <c r="A147" i="15"/>
  <c r="H147" i="15"/>
  <c r="A148" i="15"/>
  <c r="H148" i="15"/>
  <c r="A149" i="15"/>
  <c r="H149" i="15"/>
  <c r="A150" i="15"/>
  <c r="H150" i="15"/>
  <c r="A151" i="15"/>
  <c r="H151" i="15"/>
  <c r="A152" i="15"/>
  <c r="H152" i="15"/>
  <c r="A153" i="15"/>
  <c r="H153" i="15"/>
  <c r="A154" i="15"/>
  <c r="H154" i="15"/>
  <c r="A155" i="15"/>
  <c r="H155" i="15"/>
  <c r="A156" i="15"/>
  <c r="H156" i="15"/>
  <c r="A157" i="15"/>
  <c r="H157" i="15"/>
  <c r="A158" i="15"/>
  <c r="H158" i="15"/>
  <c r="A159" i="15"/>
  <c r="H159" i="15"/>
  <c r="A160" i="15"/>
  <c r="H160" i="15"/>
  <c r="A161" i="15"/>
  <c r="H161" i="15"/>
  <c r="A162" i="15"/>
  <c r="H162" i="15"/>
  <c r="A163" i="15"/>
  <c r="H163" i="15"/>
  <c r="A164" i="15"/>
  <c r="H164" i="15"/>
  <c r="A165" i="15"/>
  <c r="H165" i="15"/>
  <c r="A166" i="15"/>
  <c r="H166" i="15"/>
  <c r="A167" i="15"/>
  <c r="H167" i="15"/>
  <c r="A168" i="15"/>
  <c r="H168" i="15"/>
  <c r="A169" i="15"/>
  <c r="H169" i="15"/>
  <c r="A170" i="15"/>
  <c r="H170" i="15"/>
  <c r="A171" i="15"/>
  <c r="H171" i="15"/>
  <c r="A172" i="15"/>
  <c r="H172" i="15"/>
  <c r="A173" i="15"/>
  <c r="H173" i="15"/>
  <c r="A174" i="15"/>
  <c r="H174" i="15"/>
  <c r="A175" i="15"/>
  <c r="H175" i="15"/>
  <c r="A176" i="15"/>
  <c r="H176" i="15"/>
  <c r="A177" i="15"/>
  <c r="H177" i="15"/>
  <c r="A178" i="15"/>
  <c r="H178" i="15"/>
  <c r="A179" i="15"/>
  <c r="H179" i="15"/>
  <c r="A180" i="15"/>
  <c r="H180" i="15"/>
  <c r="A181" i="15"/>
  <c r="H181" i="15"/>
  <c r="A182" i="15"/>
  <c r="H182" i="15"/>
  <c r="A183" i="15"/>
  <c r="H183" i="15"/>
  <c r="A184" i="15"/>
  <c r="H184" i="15"/>
  <c r="A185" i="15"/>
  <c r="H185" i="15"/>
  <c r="A186" i="15"/>
  <c r="H186" i="15"/>
  <c r="A187" i="15"/>
  <c r="H187" i="15"/>
  <c r="A188" i="15"/>
  <c r="H188" i="15"/>
  <c r="A189" i="15"/>
  <c r="H189" i="15"/>
  <c r="A190" i="15"/>
  <c r="H190" i="15"/>
  <c r="A191" i="15"/>
  <c r="H191" i="15"/>
  <c r="A192" i="15"/>
  <c r="H192" i="15"/>
  <c r="A193" i="15"/>
  <c r="H193" i="15"/>
  <c r="A194" i="15"/>
  <c r="H194" i="15"/>
  <c r="A195" i="15"/>
  <c r="H195" i="15"/>
  <c r="A196" i="15"/>
  <c r="H196" i="15"/>
  <c r="A197" i="15"/>
  <c r="H197" i="15"/>
  <c r="A198" i="15"/>
  <c r="H198" i="15"/>
  <c r="A199" i="15"/>
  <c r="H199" i="15"/>
  <c r="A2" i="15" l="1"/>
  <c r="B2" i="15" l="1"/>
  <c r="B3" i="15" s="1"/>
  <c r="B4" i="15" l="1"/>
  <c r="C3" i="15"/>
  <c r="D3" i="15"/>
  <c r="E3" i="15" s="1"/>
  <c r="F3" i="15" s="1"/>
  <c r="G3" i="15" s="1"/>
  <c r="H3" i="15" s="1"/>
  <c r="D2" i="15"/>
  <c r="E2" i="15" s="1"/>
  <c r="F2" i="15" s="1"/>
  <c r="G2" i="15" s="1"/>
  <c r="H2" i="15" s="1"/>
  <c r="C2" i="15"/>
  <c r="C4" i="15" l="1"/>
  <c r="B5" i="15"/>
  <c r="D4" i="15"/>
  <c r="A39" i="15"/>
  <c r="E4" i="15" l="1"/>
  <c r="F4" i="15" s="1"/>
  <c r="G4" i="15" s="1"/>
  <c r="H4" i="15" s="1"/>
  <c r="C5" i="15"/>
  <c r="B6" i="15"/>
  <c r="D5" i="15"/>
  <c r="A43" i="15"/>
  <c r="E5" i="15" l="1"/>
  <c r="F5" i="15" s="1"/>
  <c r="G5" i="15" s="1"/>
  <c r="H5" i="15" s="1"/>
  <c r="C6" i="15"/>
  <c r="D6" i="15"/>
  <c r="E6" i="15" s="1"/>
  <c r="F6" i="15" s="1"/>
  <c r="G6" i="15" s="1"/>
  <c r="H6" i="15" s="1"/>
  <c r="B7" i="15"/>
  <c r="C7" i="15" l="1"/>
  <c r="D7" i="15"/>
  <c r="E7" i="15" s="1"/>
  <c r="F7" i="15" s="1"/>
  <c r="G7" i="15" s="1"/>
  <c r="H7" i="15" s="1"/>
  <c r="A8" i="15"/>
  <c r="B8" i="15" l="1"/>
  <c r="A10" i="15"/>
  <c r="A16" i="15" l="1"/>
  <c r="D8" i="15"/>
  <c r="E8" i="15" s="1"/>
  <c r="F8" i="15" s="1"/>
  <c r="C8" i="15"/>
  <c r="B9" i="15"/>
  <c r="B10" i="15" s="1"/>
  <c r="A22" i="15" l="1"/>
  <c r="G8" i="15"/>
  <c r="H8" i="15" s="1"/>
  <c r="C10" i="15"/>
  <c r="D10" i="15"/>
  <c r="B11" i="15"/>
  <c r="C9" i="15"/>
  <c r="D9" i="15"/>
  <c r="E9" i="15" s="1"/>
  <c r="F9" i="15" s="1"/>
  <c r="A28" i="15" l="1"/>
  <c r="A33" i="15" s="1"/>
  <c r="D11" i="15"/>
  <c r="C11" i="15"/>
  <c r="B12" i="15"/>
  <c r="E10" i="15"/>
  <c r="F10" i="15" s="1"/>
  <c r="G10" i="15" s="1"/>
  <c r="H10" i="15" s="1"/>
  <c r="G9" i="15"/>
  <c r="H9" i="15" s="1"/>
  <c r="A34" i="15" l="1"/>
  <c r="A37" i="15" s="1"/>
  <c r="C12" i="15"/>
  <c r="D12" i="15"/>
  <c r="E12" i="15" s="1"/>
  <c r="F12" i="15" s="1"/>
  <c r="B13" i="15"/>
  <c r="E11" i="15"/>
  <c r="F11" i="15" s="1"/>
  <c r="G11" i="15" s="1"/>
  <c r="H11" i="15" s="1"/>
  <c r="A41" i="15" l="1"/>
  <c r="A47" i="15" s="1"/>
  <c r="G12" i="15"/>
  <c r="H12" i="15" s="1"/>
  <c r="C13" i="15"/>
  <c r="D13" i="15"/>
  <c r="B14" i="15"/>
  <c r="A49" i="15" l="1"/>
  <c r="A51" i="15" s="1"/>
  <c r="D14" i="15"/>
  <c r="E14" i="15" s="1"/>
  <c r="F14" i="15" s="1"/>
  <c r="C14" i="15"/>
  <c r="B15" i="15"/>
  <c r="B16" i="15" s="1"/>
  <c r="E13" i="15"/>
  <c r="F13" i="15" s="1"/>
  <c r="G13" i="15" s="1"/>
  <c r="H13" i="15" s="1"/>
  <c r="B17" i="15" l="1"/>
  <c r="D16" i="15"/>
  <c r="C16" i="15"/>
  <c r="A57" i="15"/>
  <c r="G14" i="15"/>
  <c r="H14" i="15" s="1"/>
  <c r="C15" i="15"/>
  <c r="D15" i="15"/>
  <c r="E15" i="15" s="1"/>
  <c r="F15" i="15" s="1"/>
  <c r="C17" i="15" l="1"/>
  <c r="D17" i="15"/>
  <c r="E17" i="15" s="1"/>
  <c r="F17" i="15" s="1"/>
  <c r="G17" i="15" s="1"/>
  <c r="H17" i="15" s="1"/>
  <c r="B18" i="15"/>
  <c r="E16" i="15"/>
  <c r="F16" i="15" s="1"/>
  <c r="G16" i="15" s="1"/>
  <c r="H16" i="15" s="1"/>
  <c r="G15" i="15"/>
  <c r="H15" i="15" s="1"/>
  <c r="B19" i="15" l="1"/>
  <c r="D18" i="15"/>
  <c r="C18" i="15"/>
  <c r="D19" i="15" l="1"/>
  <c r="B20" i="15"/>
  <c r="C19" i="15"/>
  <c r="E18" i="15"/>
  <c r="F18" i="15" s="1"/>
  <c r="G18" i="15" s="1"/>
  <c r="H18" i="15" s="1"/>
  <c r="E19" i="15" l="1"/>
  <c r="F19" i="15" s="1"/>
  <c r="G19" i="15" s="1"/>
  <c r="H19" i="15" s="1"/>
  <c r="D20" i="15"/>
  <c r="C20" i="15"/>
  <c r="B21" i="15"/>
  <c r="E20" i="15" l="1"/>
  <c r="F20" i="15" s="1"/>
  <c r="G20" i="15" s="1"/>
  <c r="H20" i="15" s="1"/>
  <c r="B22" i="15"/>
  <c r="C21" i="15"/>
  <c r="D21" i="15"/>
  <c r="C22" i="15" l="1"/>
  <c r="D22" i="15"/>
  <c r="E22" i="15" s="1"/>
  <c r="F22" i="15" s="1"/>
  <c r="G22" i="15" s="1"/>
  <c r="H22" i="15" s="1"/>
  <c r="B23" i="15"/>
  <c r="E21" i="15"/>
  <c r="F21" i="15" s="1"/>
  <c r="G21" i="15" s="1"/>
  <c r="H21" i="15" s="1"/>
  <c r="C23" i="15" l="1"/>
  <c r="D23" i="15"/>
  <c r="B24" i="15"/>
  <c r="E23" i="15" l="1"/>
  <c r="F23" i="15" s="1"/>
  <c r="G23" i="15" s="1"/>
  <c r="H23" i="15" s="1"/>
  <c r="D24" i="15"/>
  <c r="E24" i="15" s="1"/>
  <c r="F24" i="15" s="1"/>
  <c r="G24" i="15" s="1"/>
  <c r="H24" i="15" s="1"/>
  <c r="C24" i="15"/>
  <c r="B25" i="15"/>
  <c r="D25" i="15" l="1"/>
  <c r="C25" i="15"/>
  <c r="B26" i="15"/>
  <c r="D26" i="15" l="1"/>
  <c r="E26" i="15" s="1"/>
  <c r="F26" i="15" s="1"/>
  <c r="C26" i="15"/>
  <c r="B27" i="15"/>
  <c r="E25" i="15"/>
  <c r="F25" i="15" s="1"/>
  <c r="G25" i="15" s="1"/>
  <c r="H25" i="15" s="1"/>
  <c r="D27" i="15" l="1"/>
  <c r="E27" i="15" s="1"/>
  <c r="F27" i="15" s="1"/>
  <c r="G27" i="15" s="1"/>
  <c r="H27" i="15" s="1"/>
  <c r="B28" i="15"/>
  <c r="C27" i="15"/>
  <c r="G26" i="15"/>
  <c r="H26" i="15" s="1"/>
  <c r="B29" i="15" l="1"/>
  <c r="D28" i="15"/>
  <c r="E28" i="15" s="1"/>
  <c r="F28" i="15" s="1"/>
  <c r="G28" i="15" s="1"/>
  <c r="H28" i="15" s="1"/>
  <c r="C28" i="15"/>
  <c r="B30" i="15" l="1"/>
  <c r="D29" i="15"/>
  <c r="E29" i="15" s="1"/>
  <c r="F29" i="15" s="1"/>
  <c r="G29" i="15" s="1"/>
  <c r="H29" i="15" s="1"/>
  <c r="C29" i="15"/>
  <c r="B31" i="15" l="1"/>
  <c r="C30" i="15"/>
  <c r="D30" i="15"/>
  <c r="B32" i="15" l="1"/>
  <c r="C31" i="15"/>
  <c r="D31" i="15"/>
  <c r="E30" i="15"/>
  <c r="F30" i="15" s="1"/>
  <c r="G30" i="15" s="1"/>
  <c r="H30" i="15" s="1"/>
  <c r="D32" i="15" l="1"/>
  <c r="E32" i="15" s="1"/>
  <c r="F32" i="15" s="1"/>
  <c r="G32" i="15" s="1"/>
  <c r="H32" i="15" s="1"/>
  <c r="B33" i="15"/>
  <c r="C32" i="15"/>
  <c r="E31" i="15"/>
  <c r="F31" i="15" s="1"/>
  <c r="G31" i="15" s="1"/>
  <c r="H31" i="15" s="1"/>
  <c r="B34" i="15" l="1"/>
  <c r="C33" i="15"/>
  <c r="D33" i="15"/>
  <c r="E33" i="15" s="1"/>
  <c r="F33" i="15" s="1"/>
  <c r="G33" i="15" s="1"/>
  <c r="H33" i="15" s="1"/>
  <c r="D34" i="15" l="1"/>
  <c r="E34" i="15" s="1"/>
  <c r="F34" i="15" s="1"/>
  <c r="G34" i="15" s="1"/>
  <c r="H34" i="15" s="1"/>
  <c r="B35" i="15"/>
  <c r="C34" i="15"/>
  <c r="D35" i="15" l="1"/>
  <c r="E35" i="15" s="1"/>
  <c r="F35" i="15" s="1"/>
  <c r="G35" i="15" s="1"/>
  <c r="H35" i="15" s="1"/>
  <c r="B36" i="15"/>
  <c r="C35" i="15"/>
  <c r="C36" i="15" l="1"/>
  <c r="D36" i="15"/>
  <c r="E36" i="15" s="1"/>
  <c r="F36" i="15" s="1"/>
  <c r="G36" i="15" s="1"/>
  <c r="H36" i="15" s="1"/>
  <c r="B37" i="15" l="1"/>
  <c r="B38" i="15" l="1"/>
  <c r="C37" i="15"/>
  <c r="D37" i="15"/>
  <c r="D38" i="15" l="1"/>
  <c r="E38" i="15" s="1"/>
  <c r="F38" i="15" s="1"/>
  <c r="G38" i="15" s="1"/>
  <c r="H38" i="15" s="1"/>
  <c r="C38" i="15"/>
  <c r="B39" i="15"/>
  <c r="E37" i="15"/>
  <c r="F37" i="15" s="1"/>
  <c r="G37" i="15" s="1"/>
  <c r="H37" i="15" s="1"/>
  <c r="D39" i="15" l="1"/>
  <c r="E39" i="15" s="1"/>
  <c r="F39" i="15" s="1"/>
  <c r="G39" i="15" s="1"/>
  <c r="H39" i="15" s="1"/>
  <c r="B40" i="15"/>
  <c r="C39" i="15"/>
  <c r="C40" i="15" l="1"/>
  <c r="D40" i="15"/>
  <c r="E40" i="15" s="1"/>
  <c r="F40" i="15" s="1"/>
  <c r="G40" i="15" s="1"/>
  <c r="H40" i="15" s="1"/>
  <c r="B41" i="15" l="1"/>
  <c r="C41" i="15" l="1"/>
  <c r="D41" i="15"/>
  <c r="B42" i="15"/>
  <c r="C42" i="15" l="1"/>
  <c r="D42" i="15"/>
  <c r="E42" i="15" s="1"/>
  <c r="F42" i="15" s="1"/>
  <c r="G42" i="15" s="1"/>
  <c r="H42" i="15" s="1"/>
  <c r="B43" i="15"/>
  <c r="E41" i="15"/>
  <c r="F41" i="15" s="1"/>
  <c r="G41" i="15" s="1"/>
  <c r="H41" i="15" s="1"/>
  <c r="C43" i="15" l="1"/>
  <c r="B44" i="15"/>
  <c r="D43" i="15"/>
  <c r="E43" i="15" s="1"/>
  <c r="F43" i="15" s="1"/>
  <c r="G43" i="15" s="1"/>
  <c r="H43" i="15" s="1"/>
  <c r="B45" i="15" l="1"/>
  <c r="D44" i="15"/>
  <c r="E44" i="15" s="1"/>
  <c r="F44" i="15" s="1"/>
  <c r="G44" i="15" s="1"/>
  <c r="H44" i="15" s="1"/>
  <c r="C44" i="15"/>
  <c r="C45" i="15" l="1"/>
  <c r="D45" i="15"/>
  <c r="E45" i="15" s="1"/>
  <c r="F45" i="15" s="1"/>
  <c r="G45" i="15" s="1"/>
  <c r="H45" i="15" s="1"/>
  <c r="B46" i="15"/>
  <c r="C46" i="15" l="1"/>
  <c r="B47" i="15"/>
  <c r="D46" i="15"/>
  <c r="E46" i="15" s="1"/>
  <c r="F46" i="15" s="1"/>
  <c r="G46" i="15" s="1"/>
  <c r="H46" i="15" s="1"/>
  <c r="B48" i="15" l="1"/>
  <c r="C47" i="15"/>
  <c r="D47" i="15"/>
  <c r="E47" i="15" s="1"/>
  <c r="F47" i="15" s="1"/>
  <c r="G47" i="15" s="1"/>
  <c r="H47" i="15" s="1"/>
  <c r="B49" i="15" l="1"/>
  <c r="C48" i="15"/>
  <c r="D48" i="15"/>
  <c r="E48" i="15" s="1"/>
  <c r="F48" i="15" s="1"/>
  <c r="G48" i="15" s="1"/>
  <c r="H48" i="15" s="1"/>
  <c r="C49" i="15" l="1"/>
  <c r="D49" i="15"/>
  <c r="E49" i="15" s="1"/>
  <c r="F49" i="15" s="1"/>
  <c r="G49" i="15" s="1"/>
  <c r="H49" i="15" s="1"/>
  <c r="B50" i="15"/>
  <c r="C50" i="15" l="1"/>
  <c r="D50" i="15"/>
  <c r="E50" i="15" s="1"/>
  <c r="F50" i="15" s="1"/>
  <c r="G50" i="15" l="1"/>
  <c r="H50" i="15" s="1"/>
  <c r="B51" i="15" l="1"/>
  <c r="B52" i="15" l="1"/>
  <c r="C51" i="15"/>
  <c r="D51" i="15"/>
  <c r="E51" i="15" s="1"/>
  <c r="F51" i="15" s="1"/>
  <c r="G51" i="15" s="1"/>
  <c r="H51" i="15" s="1"/>
  <c r="D52" i="15" l="1"/>
  <c r="E52" i="15" s="1"/>
  <c r="F52" i="15" s="1"/>
  <c r="G52" i="15" s="1"/>
  <c r="H52" i="15" s="1"/>
  <c r="B53" i="15"/>
  <c r="C52" i="15"/>
  <c r="D53" i="15" l="1"/>
  <c r="E53" i="15" s="1"/>
  <c r="F53" i="15" s="1"/>
  <c r="G53" i="15" s="1"/>
  <c r="H53" i="15" s="1"/>
  <c r="B54" i="15"/>
  <c r="C53" i="15"/>
  <c r="B55" i="15" l="1"/>
  <c r="D54" i="15"/>
  <c r="E54" i="15" s="1"/>
  <c r="F54" i="15" s="1"/>
  <c r="G54" i="15" s="1"/>
  <c r="H54" i="15" s="1"/>
  <c r="C54" i="15"/>
  <c r="B56" i="15" l="1"/>
  <c r="D55" i="15"/>
  <c r="E55" i="15" s="1"/>
  <c r="F55" i="15" s="1"/>
  <c r="G55" i="15" s="1"/>
  <c r="H55" i="15" s="1"/>
  <c r="C55" i="15"/>
  <c r="B57" i="15" l="1"/>
  <c r="C56" i="15"/>
  <c r="D56" i="15"/>
  <c r="B58" i="15" l="1"/>
  <c r="D57" i="15"/>
  <c r="E57" i="15" s="1"/>
  <c r="F57" i="15" s="1"/>
  <c r="G57" i="15" s="1"/>
  <c r="H57" i="15" s="1"/>
  <c r="C57" i="15"/>
  <c r="E56" i="15"/>
  <c r="F56" i="15" s="1"/>
  <c r="G56" i="15" s="1"/>
  <c r="H56" i="15" s="1"/>
  <c r="D58" i="15" l="1"/>
  <c r="E58" i="15" s="1"/>
  <c r="F58" i="15" s="1"/>
  <c r="G58" i="15" s="1"/>
  <c r="H58" i="15" s="1"/>
  <c r="C58" i="15"/>
  <c r="B59" i="15"/>
  <c r="D59" i="15" l="1"/>
  <c r="E59" i="15" s="1"/>
  <c r="F59" i="15" s="1"/>
  <c r="G59" i="15" s="1"/>
  <c r="H59" i="15" s="1"/>
  <c r="C59" i="15"/>
  <c r="B60" i="15"/>
  <c r="C60" i="15" l="1"/>
  <c r="D60" i="15"/>
  <c r="E60" i="15" s="1"/>
  <c r="F60" i="15" s="1"/>
  <c r="G60" i="15" s="1"/>
  <c r="B61" i="15"/>
  <c r="D61" i="15" l="1"/>
  <c r="E61" i="15" s="1"/>
  <c r="F61" i="15" s="1"/>
  <c r="G61" i="15" s="1"/>
  <c r="C61" i="15"/>
  <c r="B62" i="15"/>
  <c r="C62" i="15" l="1"/>
  <c r="B63" i="15"/>
  <c r="D62" i="15"/>
  <c r="B64" i="15" l="1"/>
  <c r="C63" i="15"/>
  <c r="D63" i="15"/>
  <c r="E63" i="15" s="1"/>
  <c r="F63" i="15" s="1"/>
  <c r="G63" i="15" s="1"/>
  <c r="E62" i="15"/>
  <c r="F62" i="15" s="1"/>
  <c r="G62" i="15" s="1"/>
  <c r="B65" i="15" l="1"/>
  <c r="C64" i="15"/>
  <c r="D64" i="15"/>
  <c r="C65" i="15" l="1"/>
  <c r="D65" i="15"/>
  <c r="E65" i="15" s="1"/>
  <c r="F65" i="15" s="1"/>
  <c r="G65" i="15" s="1"/>
  <c r="B66" i="15"/>
  <c r="E64" i="15"/>
  <c r="F64" i="15" s="1"/>
  <c r="G64" i="15" s="1"/>
  <c r="B67" i="15" l="1"/>
  <c r="C66" i="15"/>
  <c r="D66" i="15"/>
  <c r="E66" i="15" s="1"/>
  <c r="F66" i="15" s="1"/>
  <c r="G66" i="15" s="1"/>
  <c r="D67" i="15" l="1"/>
  <c r="E67" i="15" s="1"/>
  <c r="F67" i="15" s="1"/>
  <c r="G67" i="15" s="1"/>
  <c r="C67" i="15"/>
  <c r="B68" i="15"/>
  <c r="D68" i="15" l="1"/>
  <c r="E68" i="15" s="1"/>
  <c r="F68" i="15" s="1"/>
  <c r="G68" i="15" s="1"/>
  <c r="B69" i="15"/>
  <c r="C68" i="15"/>
  <c r="D69" i="15" l="1"/>
  <c r="E69" i="15" s="1"/>
  <c r="F69" i="15" s="1"/>
  <c r="G69" i="15" s="1"/>
  <c r="B70" i="15"/>
  <c r="C69" i="15"/>
  <c r="C70" i="15" l="1"/>
  <c r="D70" i="15"/>
  <c r="E70" i="15" s="1"/>
  <c r="F70" i="15" s="1"/>
  <c r="G70" i="15" s="1"/>
  <c r="B71" i="15"/>
  <c r="C71" i="15" l="1"/>
  <c r="D71" i="15"/>
  <c r="E71" i="15" s="1"/>
  <c r="F71" i="15" s="1"/>
  <c r="G71" i="15" s="1"/>
  <c r="B72" i="15"/>
  <c r="D72" i="15" l="1"/>
  <c r="E72" i="15" s="1"/>
  <c r="F72" i="15" s="1"/>
  <c r="G72" i="15" s="1"/>
  <c r="C72" i="15"/>
  <c r="B73" i="15"/>
  <c r="B74" i="15" l="1"/>
  <c r="D73" i="15"/>
  <c r="E73" i="15" s="1"/>
  <c r="F73" i="15" s="1"/>
  <c r="G73" i="15" s="1"/>
  <c r="C73" i="15"/>
  <c r="B75" i="15" l="1"/>
  <c r="C74" i="15"/>
  <c r="D74" i="15"/>
  <c r="E74" i="15" s="1"/>
  <c r="F74" i="15" s="1"/>
  <c r="G74" i="15" s="1"/>
  <c r="B76" i="15" l="1"/>
  <c r="D75" i="15"/>
  <c r="C75" i="15"/>
  <c r="C76" i="15" l="1"/>
  <c r="B77" i="15"/>
  <c r="D76" i="15"/>
  <c r="E75" i="15"/>
  <c r="F75" i="15" s="1"/>
  <c r="G75" i="15" s="1"/>
  <c r="B78" i="15" l="1"/>
  <c r="D77" i="15"/>
  <c r="E77" i="15" s="1"/>
  <c r="F77" i="15" s="1"/>
  <c r="C77" i="15"/>
  <c r="E76" i="15"/>
  <c r="F76" i="15" s="1"/>
  <c r="G76" i="15" s="1"/>
  <c r="G77" i="15" l="1"/>
  <c r="C78" i="15"/>
  <c r="B79" i="15"/>
  <c r="D78" i="15"/>
  <c r="E78" i="15" s="1"/>
  <c r="F78" i="15" s="1"/>
  <c r="G78" i="15" s="1"/>
  <c r="C79" i="15" l="1"/>
  <c r="B80" i="15"/>
  <c r="D79" i="15"/>
  <c r="E79" i="15" s="1"/>
  <c r="F79" i="15" s="1"/>
  <c r="G79" i="15" s="1"/>
  <c r="C80" i="15" l="1"/>
  <c r="D80" i="15"/>
  <c r="B81" i="15"/>
  <c r="E80" i="15" l="1"/>
  <c r="F80" i="15" s="1"/>
  <c r="G80" i="15" s="1"/>
  <c r="C81" i="15"/>
  <c r="B82" i="15"/>
  <c r="D81" i="15"/>
  <c r="E81" i="15" s="1"/>
  <c r="F81" i="15" s="1"/>
  <c r="G81" i="15" s="1"/>
  <c r="D82" i="15" l="1"/>
  <c r="E82" i="15" s="1"/>
  <c r="F82" i="15" s="1"/>
  <c r="G82" i="15" s="1"/>
  <c r="B83" i="15"/>
  <c r="C82" i="15"/>
  <c r="D83" i="15" l="1"/>
  <c r="E83" i="15" s="1"/>
  <c r="F83" i="15" s="1"/>
  <c r="G83" i="15" s="1"/>
  <c r="C83" i="15"/>
  <c r="B84" i="15"/>
  <c r="B85" i="15" l="1"/>
  <c r="C84" i="15"/>
  <c r="D84" i="15"/>
  <c r="C85" i="15" l="1"/>
  <c r="D85" i="15"/>
  <c r="E85" i="15" s="1"/>
  <c r="F85" i="15" s="1"/>
  <c r="G85" i="15" s="1"/>
  <c r="B86" i="15"/>
  <c r="E84" i="15"/>
  <c r="F84" i="15" s="1"/>
  <c r="G84" i="15" s="1"/>
  <c r="B87" i="15" l="1"/>
  <c r="D86" i="15"/>
  <c r="E86" i="15" s="1"/>
  <c r="F86" i="15" s="1"/>
  <c r="G86" i="15" s="1"/>
  <c r="C86" i="15"/>
  <c r="C87" i="15" l="1"/>
  <c r="D87" i="15"/>
  <c r="E87" i="15" s="1"/>
  <c r="F87" i="15" s="1"/>
  <c r="G87" i="15" s="1"/>
  <c r="B88" i="15"/>
  <c r="B89" i="15" l="1"/>
  <c r="D88" i="15"/>
  <c r="E88" i="15" s="1"/>
  <c r="F88" i="15" s="1"/>
  <c r="G88" i="15" s="1"/>
  <c r="C88" i="15"/>
  <c r="D89" i="15" l="1"/>
  <c r="E89" i="15" s="1"/>
  <c r="F89" i="15" s="1"/>
  <c r="G89" i="15" s="1"/>
  <c r="B90" i="15"/>
  <c r="C89" i="15"/>
  <c r="B91" i="15" l="1"/>
  <c r="C90" i="15"/>
  <c r="D90" i="15"/>
  <c r="C91" i="15" l="1"/>
  <c r="D91" i="15"/>
  <c r="B92" i="15"/>
  <c r="E90" i="15"/>
  <c r="F90" i="15" s="1"/>
  <c r="G90" i="15" s="1"/>
  <c r="E91" i="15" l="1"/>
  <c r="F91" i="15" s="1"/>
  <c r="G91" i="15" s="1"/>
  <c r="B93" i="15"/>
  <c r="C92" i="15"/>
  <c r="D92" i="15"/>
  <c r="B94" i="15" l="1"/>
  <c r="D93" i="15"/>
  <c r="C93" i="15"/>
  <c r="E92" i="15"/>
  <c r="F92" i="15" s="1"/>
  <c r="G92" i="15" s="1"/>
  <c r="B95" i="15" l="1"/>
  <c r="D94" i="15"/>
  <c r="E94" i="15" s="1"/>
  <c r="F94" i="15" s="1"/>
  <c r="G94" i="15" s="1"/>
  <c r="C94" i="15"/>
  <c r="E93" i="15"/>
  <c r="F93" i="15" s="1"/>
  <c r="G93" i="15" s="1"/>
  <c r="C95" i="15" l="1"/>
  <c r="B96" i="15"/>
  <c r="D95" i="15"/>
  <c r="E95" i="15" s="1"/>
  <c r="F95" i="15" s="1"/>
  <c r="G95" i="15" s="1"/>
  <c r="D96" i="15" l="1"/>
  <c r="E96" i="15" s="1"/>
  <c r="F96" i="15" s="1"/>
  <c r="G96" i="15" s="1"/>
  <c r="C96" i="15"/>
  <c r="B97" i="15"/>
  <c r="D97" i="15" l="1"/>
  <c r="E97" i="15" s="1"/>
  <c r="F97" i="15" s="1"/>
  <c r="G97" i="15" s="1"/>
  <c r="C97" i="15"/>
  <c r="B98" i="15"/>
  <c r="B99" i="15" l="1"/>
  <c r="D98" i="15"/>
  <c r="E98" i="15" s="1"/>
  <c r="F98" i="15" s="1"/>
  <c r="G98" i="15" s="1"/>
  <c r="C98" i="15"/>
  <c r="D99" i="15" l="1"/>
  <c r="E99" i="15" s="1"/>
  <c r="F99" i="15" s="1"/>
  <c r="G99" i="15" s="1"/>
  <c r="B100" i="15"/>
  <c r="C99" i="15"/>
  <c r="B101" i="15" l="1"/>
  <c r="D100" i="15"/>
  <c r="E100" i="15" s="1"/>
  <c r="F100" i="15" s="1"/>
  <c r="G100" i="15" s="1"/>
  <c r="C100" i="15"/>
  <c r="B102" i="15" l="1"/>
  <c r="D101" i="15"/>
  <c r="C101" i="15"/>
  <c r="D102" i="15" l="1"/>
  <c r="E102" i="15" s="1"/>
  <c r="F102" i="15" s="1"/>
  <c r="G102" i="15" s="1"/>
  <c r="C102" i="15"/>
  <c r="B103" i="15"/>
  <c r="E101" i="15"/>
  <c r="F101" i="15" s="1"/>
  <c r="G101" i="15" s="1"/>
  <c r="D103" i="15" l="1"/>
  <c r="E103" i="15" s="1"/>
  <c r="F103" i="15" s="1"/>
  <c r="G103" i="15" s="1"/>
  <c r="B104" i="15"/>
  <c r="C103" i="15"/>
  <c r="D104" i="15" l="1"/>
  <c r="E104" i="15" s="1"/>
  <c r="F104" i="15" s="1"/>
  <c r="G104" i="15" s="1"/>
  <c r="B105" i="15"/>
  <c r="C104" i="15"/>
  <c r="D105" i="15" l="1"/>
  <c r="E105" i="15" s="1"/>
  <c r="F105" i="15" s="1"/>
  <c r="G105" i="15" s="1"/>
  <c r="B106" i="15"/>
  <c r="C105" i="15"/>
  <c r="D106" i="15" l="1"/>
  <c r="B107" i="15"/>
  <c r="C106" i="15"/>
  <c r="E106" i="15" l="1"/>
  <c r="F106" i="15" s="1"/>
  <c r="G106" i="15" s="1"/>
  <c r="C107" i="15"/>
  <c r="B108" i="15"/>
  <c r="D107" i="15"/>
  <c r="E107" i="15" s="1"/>
  <c r="F107" i="15" s="1"/>
  <c r="G107" i="15" s="1"/>
  <c r="D108" i="15" l="1"/>
  <c r="C108" i="15"/>
  <c r="B109" i="15"/>
  <c r="E108" i="15" l="1"/>
  <c r="F108" i="15" s="1"/>
  <c r="G108" i="15" s="1"/>
  <c r="B110" i="15"/>
  <c r="D109" i="15"/>
  <c r="E109" i="15" s="1"/>
  <c r="F109" i="15" s="1"/>
  <c r="G109" i="15" s="1"/>
  <c r="C109" i="15"/>
  <c r="C110" i="15" l="1"/>
  <c r="B111" i="15"/>
  <c r="D110" i="15"/>
  <c r="C111" i="15" l="1"/>
  <c r="D111" i="15"/>
  <c r="E111" i="15" s="1"/>
  <c r="F111" i="15" s="1"/>
  <c r="G111" i="15" s="1"/>
  <c r="B112" i="15"/>
  <c r="E110" i="15"/>
  <c r="F110" i="15" s="1"/>
  <c r="G110" i="15" s="1"/>
  <c r="C112" i="15" l="1"/>
  <c r="B113" i="15"/>
  <c r="D112" i="15"/>
  <c r="E112" i="15" s="1"/>
  <c r="F112" i="15" s="1"/>
  <c r="G112" i="15" s="1"/>
  <c r="D113" i="15" l="1"/>
  <c r="C113" i="15"/>
  <c r="B114" i="15"/>
  <c r="E113" i="15" l="1"/>
  <c r="F113" i="15" s="1"/>
  <c r="G113" i="15" s="1"/>
  <c r="C114" i="15"/>
  <c r="D114" i="15"/>
  <c r="E114" i="15" s="1"/>
  <c r="F114" i="15" s="1"/>
  <c r="G114" i="15" s="1"/>
  <c r="B115" i="15"/>
  <c r="D115" i="15" l="1"/>
  <c r="E115" i="15" s="1"/>
  <c r="F115" i="15" s="1"/>
  <c r="G115" i="15" s="1"/>
  <c r="B116" i="15"/>
  <c r="C115" i="15"/>
  <c r="C116" i="15" l="1"/>
  <c r="B117" i="15"/>
  <c r="D116" i="15"/>
  <c r="E116" i="15" s="1"/>
  <c r="F116" i="15" s="1"/>
  <c r="G116" i="15" s="1"/>
  <c r="D117" i="15" l="1"/>
  <c r="E117" i="15" s="1"/>
  <c r="F117" i="15" s="1"/>
  <c r="G117" i="15" s="1"/>
  <c r="B118" i="15"/>
  <c r="C117" i="15"/>
  <c r="B119" i="15" l="1"/>
  <c r="C118" i="15"/>
  <c r="D118" i="15"/>
  <c r="E118" i="15" s="1"/>
  <c r="F118" i="15" s="1"/>
  <c r="G118" i="15" s="1"/>
  <c r="D119" i="15" l="1"/>
  <c r="B120" i="15"/>
  <c r="C119" i="15"/>
  <c r="E119" i="15" l="1"/>
  <c r="F119" i="15" s="1"/>
  <c r="G119" i="15" s="1"/>
  <c r="B121" i="15"/>
  <c r="C120" i="15"/>
  <c r="D120" i="15"/>
  <c r="E120" i="15" s="1"/>
  <c r="F120" i="15" s="1"/>
  <c r="G120" i="15" s="1"/>
  <c r="D121" i="15" l="1"/>
  <c r="E121" i="15" s="1"/>
  <c r="F121" i="15" s="1"/>
  <c r="G121" i="15" s="1"/>
  <c r="B122" i="15"/>
  <c r="C121" i="15"/>
  <c r="D122" i="15" l="1"/>
  <c r="B123" i="15"/>
  <c r="C122" i="15"/>
  <c r="C123" i="15" l="1"/>
  <c r="B124" i="15"/>
  <c r="D123" i="15"/>
  <c r="E122" i="15"/>
  <c r="F122" i="15" s="1"/>
  <c r="G122" i="15" s="1"/>
  <c r="D124" i="15" l="1"/>
  <c r="E124" i="15" s="1"/>
  <c r="F124" i="15" s="1"/>
  <c r="G124" i="15" s="1"/>
  <c r="C124" i="15"/>
  <c r="B125" i="15"/>
  <c r="E123" i="15"/>
  <c r="F123" i="15" s="1"/>
  <c r="G123" i="15" s="1"/>
  <c r="D125" i="15" l="1"/>
  <c r="B126" i="15"/>
  <c r="C125" i="15"/>
  <c r="C126" i="15" l="1"/>
  <c r="B127" i="15"/>
  <c r="D126" i="15"/>
  <c r="E126" i="15" s="1"/>
  <c r="F126" i="15" s="1"/>
  <c r="G126" i="15" s="1"/>
  <c r="E125" i="15"/>
  <c r="F125" i="15" s="1"/>
  <c r="G125" i="15" s="1"/>
  <c r="C127" i="15" l="1"/>
  <c r="B128" i="15"/>
  <c r="D127" i="15"/>
  <c r="E127" i="15" s="1"/>
  <c r="F127" i="15" s="1"/>
  <c r="G127" i="15" s="1"/>
  <c r="C128" i="15" l="1"/>
  <c r="B129" i="15"/>
  <c r="D128" i="15"/>
  <c r="E128" i="15" s="1"/>
  <c r="F128" i="15" s="1"/>
  <c r="G128" i="15" s="1"/>
  <c r="D129" i="15" l="1"/>
  <c r="E129" i="15" s="1"/>
  <c r="F129" i="15" s="1"/>
  <c r="G129" i="15" s="1"/>
  <c r="B130" i="15"/>
  <c r="C129" i="15"/>
  <c r="D130" i="15" l="1"/>
  <c r="E130" i="15" s="1"/>
  <c r="F130" i="15" s="1"/>
  <c r="G130" i="15" s="1"/>
  <c r="C130" i="15"/>
  <c r="B131" i="15"/>
  <c r="B132" i="15" l="1"/>
  <c r="C131" i="15"/>
  <c r="D131" i="15"/>
  <c r="E131" i="15" s="1"/>
  <c r="F131" i="15" s="1"/>
  <c r="G131" i="15" s="1"/>
  <c r="D132" i="15" l="1"/>
  <c r="E132" i="15" s="1"/>
  <c r="F132" i="15" s="1"/>
  <c r="G132" i="15" s="1"/>
  <c r="B133" i="15"/>
  <c r="C132" i="15"/>
  <c r="B134" i="15" l="1"/>
  <c r="D133" i="15"/>
  <c r="C133" i="15"/>
  <c r="D134" i="15" l="1"/>
  <c r="B135" i="15"/>
  <c r="C134" i="15"/>
  <c r="E133" i="15"/>
  <c r="F133" i="15" s="1"/>
  <c r="G133" i="15" s="1"/>
  <c r="E134" i="15" l="1"/>
  <c r="F134" i="15" s="1"/>
  <c r="G134" i="15" s="1"/>
  <c r="B136" i="15"/>
  <c r="C135" i="15"/>
  <c r="D135" i="15"/>
  <c r="E135" i="15" s="1"/>
  <c r="F135" i="15" s="1"/>
  <c r="G135" i="15" s="1"/>
  <c r="B137" i="15" l="1"/>
  <c r="C136" i="15"/>
  <c r="D136" i="15"/>
  <c r="E136" i="15" s="1"/>
  <c r="F136" i="15" s="1"/>
  <c r="G136" i="15" s="1"/>
  <c r="B138" i="15" l="1"/>
  <c r="C137" i="15"/>
  <c r="D137" i="15"/>
  <c r="D138" i="15" l="1"/>
  <c r="E138" i="15" s="1"/>
  <c r="F138" i="15" s="1"/>
  <c r="G138" i="15" s="1"/>
  <c r="B139" i="15"/>
  <c r="C138" i="15"/>
  <c r="E137" i="15"/>
  <c r="F137" i="15" s="1"/>
  <c r="G137" i="15" s="1"/>
  <c r="C139" i="15" l="1"/>
  <c r="B140" i="15"/>
  <c r="D139" i="15"/>
  <c r="E139" i="15" s="1"/>
  <c r="F139" i="15" s="1"/>
  <c r="G139" i="15" s="1"/>
  <c r="C140" i="15" l="1"/>
  <c r="B141" i="15"/>
  <c r="D140" i="15"/>
  <c r="B142" i="15" l="1"/>
  <c r="C141" i="15"/>
  <c r="D141" i="15"/>
  <c r="E140" i="15"/>
  <c r="F140" i="15" s="1"/>
  <c r="G140" i="15" s="1"/>
  <c r="C142" i="15" l="1"/>
  <c r="D142" i="15"/>
  <c r="E142" i="15" s="1"/>
  <c r="F142" i="15" s="1"/>
  <c r="G142" i="15" s="1"/>
  <c r="B143" i="15"/>
  <c r="E141" i="15"/>
  <c r="F141" i="15" s="1"/>
  <c r="G141" i="15" s="1"/>
  <c r="C143" i="15" l="1"/>
  <c r="B144" i="15"/>
  <c r="D143" i="15"/>
  <c r="E143" i="15" s="1"/>
  <c r="F143" i="15" s="1"/>
  <c r="G143" i="15" s="1"/>
  <c r="C144" i="15" l="1"/>
  <c r="B145" i="15"/>
  <c r="D144" i="15"/>
  <c r="E144" i="15" s="1"/>
  <c r="F144" i="15" s="1"/>
  <c r="G144" i="15" s="1"/>
  <c r="D145" i="15" l="1"/>
  <c r="E145" i="15" s="1"/>
  <c r="F145" i="15" s="1"/>
  <c r="G145" i="15" s="1"/>
  <c r="B146" i="15"/>
  <c r="C145" i="15"/>
  <c r="B147" i="15" l="1"/>
  <c r="D146" i="15"/>
  <c r="E146" i="15" s="1"/>
  <c r="F146" i="15" s="1"/>
  <c r="G146" i="15" s="1"/>
  <c r="C146" i="15"/>
  <c r="C147" i="15" l="1"/>
  <c r="D147" i="15"/>
  <c r="B148" i="15"/>
  <c r="E147" i="15" l="1"/>
  <c r="F147" i="15" s="1"/>
  <c r="G147" i="15" s="1"/>
  <c r="C148" i="15"/>
  <c r="B149" i="15"/>
  <c r="D148" i="15"/>
  <c r="C149" i="15" l="1"/>
  <c r="D149" i="15"/>
  <c r="B150" i="15"/>
  <c r="E148" i="15"/>
  <c r="F148" i="15" s="1"/>
  <c r="G148" i="15" s="1"/>
  <c r="B151" i="15" l="1"/>
  <c r="C150" i="15"/>
  <c r="D150" i="15"/>
  <c r="E149" i="15"/>
  <c r="F149" i="15" s="1"/>
  <c r="G149" i="15" s="1"/>
  <c r="E150" i="15" l="1"/>
  <c r="F150" i="15" s="1"/>
  <c r="G150" i="15" s="1"/>
  <c r="D151" i="15"/>
  <c r="E151" i="15" s="1"/>
  <c r="F151" i="15" s="1"/>
  <c r="G151" i="15" s="1"/>
  <c r="C151" i="15"/>
  <c r="B152" i="15"/>
  <c r="C152" i="15" l="1"/>
  <c r="B153" i="15"/>
  <c r="D152" i="15"/>
  <c r="E152" i="15" s="1"/>
  <c r="F152" i="15" s="1"/>
  <c r="G152" i="15" s="1"/>
  <c r="C153" i="15" l="1"/>
  <c r="B154" i="15"/>
  <c r="D153" i="15"/>
  <c r="E153" i="15" s="1"/>
  <c r="F153" i="15" s="1"/>
  <c r="G153" i="15" s="1"/>
  <c r="D154" i="15" l="1"/>
  <c r="E154" i="15" s="1"/>
  <c r="F154" i="15" s="1"/>
  <c r="G154" i="15" s="1"/>
  <c r="C154" i="15"/>
  <c r="B155" i="15"/>
  <c r="D155" i="15" l="1"/>
  <c r="E155" i="15" s="1"/>
  <c r="F155" i="15" s="1"/>
  <c r="G155" i="15" s="1"/>
  <c r="C155" i="15"/>
  <c r="B156" i="15"/>
  <c r="C156" i="15" l="1"/>
  <c r="B157" i="15"/>
  <c r="D156" i="15"/>
  <c r="C157" i="15" l="1"/>
  <c r="B158" i="15"/>
  <c r="D157" i="15"/>
  <c r="E157" i="15" s="1"/>
  <c r="F157" i="15" s="1"/>
  <c r="G157" i="15" s="1"/>
  <c r="E156" i="15"/>
  <c r="F156" i="15" s="1"/>
  <c r="G156" i="15" s="1"/>
  <c r="D158" i="15" l="1"/>
  <c r="E158" i="15" s="1"/>
  <c r="F158" i="15" s="1"/>
  <c r="G158" i="15" s="1"/>
  <c r="B159" i="15"/>
  <c r="C158" i="15"/>
  <c r="B160" i="15" l="1"/>
  <c r="D159" i="15"/>
  <c r="E159" i="15" s="1"/>
  <c r="F159" i="15" s="1"/>
  <c r="G159" i="15" s="1"/>
  <c r="C159" i="15"/>
  <c r="B161" i="15" l="1"/>
  <c r="D160" i="15"/>
  <c r="E160" i="15" s="1"/>
  <c r="F160" i="15" s="1"/>
  <c r="G160" i="15" s="1"/>
  <c r="C160" i="15"/>
  <c r="C161" i="15" l="1"/>
  <c r="B162" i="15"/>
  <c r="D161" i="15"/>
  <c r="C162" i="15" l="1"/>
  <c r="D162" i="15"/>
  <c r="E162" i="15" s="1"/>
  <c r="F162" i="15" s="1"/>
  <c r="G162" i="15" s="1"/>
  <c r="B163" i="15"/>
  <c r="E161" i="15"/>
  <c r="F161" i="15" s="1"/>
  <c r="G161" i="15" s="1"/>
  <c r="C163" i="15" l="1"/>
  <c r="B164" i="15"/>
  <c r="D163" i="15"/>
  <c r="E163" i="15" s="1"/>
  <c r="F163" i="15" s="1"/>
  <c r="G163" i="15" s="1"/>
  <c r="B165" i="15" l="1"/>
  <c r="D164" i="15"/>
  <c r="E164" i="15" s="1"/>
  <c r="F164" i="15" s="1"/>
  <c r="G164" i="15" s="1"/>
  <c r="C164" i="15"/>
  <c r="B166" i="15" l="1"/>
  <c r="D165" i="15"/>
  <c r="E165" i="15" s="1"/>
  <c r="F165" i="15" s="1"/>
  <c r="G165" i="15" s="1"/>
  <c r="C165" i="15"/>
  <c r="B167" i="15" l="1"/>
  <c r="C166" i="15"/>
  <c r="D166" i="15"/>
  <c r="B168" i="15" l="1"/>
  <c r="D167" i="15"/>
  <c r="C167" i="15"/>
  <c r="E166" i="15"/>
  <c r="F166" i="15" s="1"/>
  <c r="G166" i="15" s="1"/>
  <c r="D168" i="15" l="1"/>
  <c r="E168" i="15" s="1"/>
  <c r="F168" i="15" s="1"/>
  <c r="G168" i="15" s="1"/>
  <c r="B169" i="15"/>
  <c r="C168" i="15"/>
  <c r="E167" i="15"/>
  <c r="F167" i="15" s="1"/>
  <c r="G167" i="15" s="1"/>
  <c r="D169" i="15" l="1"/>
  <c r="E169" i="15" s="1"/>
  <c r="F169" i="15" s="1"/>
  <c r="G169" i="15" s="1"/>
  <c r="C169" i="15"/>
  <c r="B170" i="15"/>
  <c r="B171" i="15" l="1"/>
  <c r="D170" i="15"/>
  <c r="C170" i="15"/>
  <c r="C171" i="15" l="1"/>
  <c r="D171" i="15"/>
  <c r="E171" i="15" s="1"/>
  <c r="F171" i="15" s="1"/>
  <c r="G171" i="15" s="1"/>
  <c r="B172" i="15"/>
  <c r="E170" i="15"/>
  <c r="F170" i="15" s="1"/>
  <c r="G170" i="15" s="1"/>
  <c r="B173" i="15" l="1"/>
  <c r="C172" i="15"/>
  <c r="D172" i="15"/>
  <c r="E172" i="15" s="1"/>
  <c r="F172" i="15" s="1"/>
  <c r="G172" i="15" s="1"/>
  <c r="D173" i="15" l="1"/>
  <c r="E173" i="15" s="1"/>
  <c r="F173" i="15" s="1"/>
  <c r="G173" i="15" s="1"/>
  <c r="C173" i="15"/>
  <c r="B174" i="15"/>
  <c r="C174" i="15" l="1"/>
  <c r="B175" i="15"/>
  <c r="D174" i="15"/>
  <c r="E174" i="15" s="1"/>
  <c r="F174" i="15" s="1"/>
  <c r="G174" i="15" s="1"/>
  <c r="B176" i="15" l="1"/>
  <c r="D175" i="15"/>
  <c r="E175" i="15" s="1"/>
  <c r="F175" i="15" s="1"/>
  <c r="G175" i="15" s="1"/>
  <c r="C175" i="15"/>
  <c r="C176" i="15" l="1"/>
  <c r="B177" i="15"/>
  <c r="D176" i="15"/>
  <c r="E176" i="15" s="1"/>
  <c r="F176" i="15" s="1"/>
  <c r="G176" i="15" s="1"/>
  <c r="D177" i="15" l="1"/>
  <c r="E177" i="15" s="1"/>
  <c r="F177" i="15" s="1"/>
  <c r="G177" i="15" s="1"/>
  <c r="B178" i="15"/>
  <c r="C177" i="15"/>
  <c r="C178" i="15" l="1"/>
  <c r="B179" i="15"/>
  <c r="D178" i="15"/>
  <c r="E178" i="15" s="1"/>
  <c r="F178" i="15" s="1"/>
  <c r="G178" i="15" s="1"/>
  <c r="B180" i="15" l="1"/>
  <c r="D179" i="15"/>
  <c r="E179" i="15" s="1"/>
  <c r="F179" i="15" s="1"/>
  <c r="G179" i="15" s="1"/>
  <c r="C179" i="15"/>
  <c r="B181" i="15" l="1"/>
  <c r="D180" i="15"/>
  <c r="E180" i="15" s="1"/>
  <c r="F180" i="15" s="1"/>
  <c r="G180" i="15" s="1"/>
  <c r="C180" i="15"/>
  <c r="C181" i="15" l="1"/>
  <c r="D181" i="15"/>
  <c r="E181" i="15" s="1"/>
  <c r="F181" i="15" s="1"/>
  <c r="G181" i="15" s="1"/>
  <c r="B182" i="15"/>
  <c r="D182" i="15" l="1"/>
  <c r="E182" i="15" s="1"/>
  <c r="F182" i="15" s="1"/>
  <c r="G182" i="15" s="1"/>
  <c r="C182" i="15"/>
  <c r="B183" i="15"/>
  <c r="C183" i="15" l="1"/>
  <c r="D183" i="15"/>
  <c r="E183" i="15" s="1"/>
  <c r="F183" i="15" s="1"/>
  <c r="G183" i="15" s="1"/>
  <c r="B184" i="15"/>
  <c r="D184" i="15" l="1"/>
  <c r="C184" i="15"/>
  <c r="B185" i="15"/>
  <c r="E184" i="15" l="1"/>
  <c r="F184" i="15" s="1"/>
  <c r="G184" i="15" s="1"/>
  <c r="B186" i="15"/>
  <c r="C185" i="15"/>
  <c r="D185" i="15"/>
  <c r="B187" i="15" l="1"/>
  <c r="C186" i="15"/>
  <c r="D186" i="15"/>
  <c r="E185" i="15"/>
  <c r="F185" i="15" s="1"/>
  <c r="G185" i="15" s="1"/>
  <c r="E186" i="15" l="1"/>
  <c r="F186" i="15" s="1"/>
  <c r="G186" i="15" s="1"/>
  <c r="B188" i="15"/>
  <c r="D187" i="15"/>
  <c r="E187" i="15" s="1"/>
  <c r="F187" i="15" s="1"/>
  <c r="C187" i="15"/>
  <c r="B189" i="15" l="1"/>
  <c r="C188" i="15"/>
  <c r="D188" i="15"/>
  <c r="E188" i="15" s="1"/>
  <c r="F188" i="15" s="1"/>
  <c r="G188" i="15" s="1"/>
  <c r="G187" i="15"/>
  <c r="C189" i="15" l="1"/>
  <c r="B190" i="15"/>
  <c r="D189" i="15"/>
  <c r="D190" i="15" l="1"/>
  <c r="E190" i="15" s="1"/>
  <c r="F190" i="15" s="1"/>
  <c r="G190" i="15" s="1"/>
  <c r="C190" i="15"/>
  <c r="B191" i="15"/>
  <c r="E189" i="15"/>
  <c r="F189" i="15" s="1"/>
  <c r="G189" i="15" s="1"/>
  <c r="B192" i="15" l="1"/>
  <c r="D191" i="15"/>
  <c r="E191" i="15" s="1"/>
  <c r="F191" i="15" s="1"/>
  <c r="G191" i="15" s="1"/>
  <c r="C191" i="15"/>
  <c r="B193" i="15" l="1"/>
  <c r="C192" i="15"/>
  <c r="D192" i="15"/>
  <c r="E192" i="15" s="1"/>
  <c r="F192" i="15" s="1"/>
  <c r="G192" i="15" s="1"/>
  <c r="B194" i="15" l="1"/>
  <c r="C193" i="15"/>
  <c r="D193" i="15"/>
  <c r="D194" i="15" l="1"/>
  <c r="E194" i="15" s="1"/>
  <c r="F194" i="15" s="1"/>
  <c r="G194" i="15" s="1"/>
  <c r="C194" i="15"/>
  <c r="B195" i="15"/>
  <c r="E193" i="15"/>
  <c r="F193" i="15" s="1"/>
  <c r="G193" i="15" s="1"/>
  <c r="D195" i="15" l="1"/>
  <c r="E195" i="15" s="1"/>
  <c r="F195" i="15" s="1"/>
  <c r="G195" i="15" s="1"/>
  <c r="B196" i="15"/>
  <c r="C195" i="15"/>
  <c r="C196" i="15" l="1"/>
  <c r="B197" i="15"/>
  <c r="D196" i="15"/>
  <c r="E196" i="15" s="1"/>
  <c r="F196" i="15" s="1"/>
  <c r="G196" i="15" s="1"/>
  <c r="B198" i="15" l="1"/>
  <c r="C197" i="15"/>
  <c r="D197" i="15"/>
  <c r="E197" i="15" s="1"/>
  <c r="F197" i="15" s="1"/>
  <c r="G197" i="15" s="1"/>
  <c r="B199" i="15" l="1"/>
  <c r="C198" i="15"/>
  <c r="D198" i="15"/>
  <c r="E198" i="15" s="1"/>
  <c r="F198" i="15" s="1"/>
  <c r="G198" i="15" s="1"/>
  <c r="C199" i="15" l="1"/>
  <c r="D199" i="15"/>
  <c r="E199" i="15" s="1"/>
  <c r="F199" i="15" s="1"/>
  <c r="G199" i="15" s="1"/>
</calcChain>
</file>

<file path=xl/sharedStrings.xml><?xml version="1.0" encoding="utf-8"?>
<sst xmlns="http://schemas.openxmlformats.org/spreadsheetml/2006/main" count="52" uniqueCount="50">
  <si>
    <t>Противность</t>
  </si>
  <si>
    <t>Срочность</t>
  </si>
  <si>
    <t>Важность</t>
  </si>
  <si>
    <t>Оценка</t>
  </si>
  <si>
    <t>Подзадачи</t>
  </si>
  <si>
    <t>PMDR</t>
  </si>
  <si>
    <t>№п/п2</t>
  </si>
  <si>
    <t>№п/п3</t>
  </si>
  <si>
    <t>№п/п4</t>
  </si>
  <si>
    <t>№п/п5</t>
  </si>
  <si>
    <t>№п/п6</t>
  </si>
  <si>
    <t>№п/п22</t>
  </si>
  <si>
    <t>1</t>
  </si>
  <si>
    <t>Перечень дел</t>
  </si>
  <si>
    <t>Открыть "Список дел"</t>
  </si>
  <si>
    <t>Прочитать что в нем имеется на данном этапе</t>
  </si>
  <si>
    <t>Заполнить задачи</t>
  </si>
  <si>
    <t>Заполнить подзадачи</t>
  </si>
  <si>
    <t>Определить приоритет выполнения</t>
  </si>
  <si>
    <t>Прописать сроки</t>
  </si>
  <si>
    <t>Приступить к выполнению</t>
  </si>
  <si>
    <t>Задачи</t>
  </si>
  <si>
    <t>Оценка2</t>
  </si>
  <si>
    <t>Обучение ERP</t>
  </si>
  <si>
    <t>Опыт ТМХ по внедрению ERP</t>
  </si>
  <si>
    <t>Качества руководителя</t>
  </si>
  <si>
    <t>Достал ежедневник</t>
  </si>
  <si>
    <t>Открыл предыдущий урок</t>
  </si>
  <si>
    <t>Просмотрел видео, делая пометки</t>
  </si>
  <si>
    <t>Запустил следующий урок</t>
  </si>
  <si>
    <t>Получил доступ к демонстрационной базе ERP</t>
  </si>
  <si>
    <t xml:space="preserve">Ознакомился с найденной информацией </t>
  </si>
  <si>
    <t>Выделил основные моменты в отдельный документ</t>
  </si>
  <si>
    <t>Пропорционально подсчитал трудозатраты по внедрению ERP в стан</t>
  </si>
  <si>
    <t>Обсудил опыт с Геннадием</t>
  </si>
  <si>
    <t>Составил план внедрения ERP в СТАН</t>
  </si>
  <si>
    <t>Решил организационные вопросы нового сотрудника</t>
  </si>
  <si>
    <t>Получил список локальной нормативной документации Стантех</t>
  </si>
  <si>
    <t>Получил пропуск</t>
  </si>
  <si>
    <t>Узнал к кому обращаться по поводу канцелярии</t>
  </si>
  <si>
    <t>Разобрался с принтером и сканером</t>
  </si>
  <si>
    <t>Выделил перечень качеств проверяемых на проверке на включение в УКР</t>
  </si>
  <si>
    <t>Подготовил список дел в данном направлении</t>
  </si>
  <si>
    <t>Обсудил с наставником</t>
  </si>
  <si>
    <t>Срочность2</t>
  </si>
  <si>
    <t>Планирование дня</t>
  </si>
  <si>
    <t>10:00 каждый день</t>
  </si>
  <si>
    <t>до 25.11.2022</t>
  </si>
  <si>
    <t>до 04.11.2022</t>
  </si>
  <si>
    <t>Получил трудовой договор и справку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</si>
</sst>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505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3" borderId="1" xfId="0" applyFont="1" applyFill="1" applyBorder="1"/>
    <xf numFmtId="0" fontId="0" fillId="0" borderId="1" xfId="0" applyFont="1" applyBorder="1"/>
    <xf numFmtId="0" fontId="1" fillId="2" borderId="6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164" fontId="0" fillId="3" borderId="2" xfId="0" applyNumberFormat="1" applyFont="1" applyFill="1" applyBorder="1"/>
    <xf numFmtId="0" fontId="0" fillId="0" borderId="5" xfId="0" applyFont="1" applyBorder="1"/>
    <xf numFmtId="0" fontId="2" fillId="3" borderId="1" xfId="0" applyFont="1" applyFill="1" applyBorder="1"/>
    <xf numFmtId="0" fontId="2" fillId="0" borderId="1" xfId="0" applyFont="1" applyBorder="1"/>
    <xf numFmtId="0" fontId="0" fillId="0" borderId="1" xfId="0" applyFont="1" applyFill="1" applyBorder="1"/>
    <xf numFmtId="164" fontId="0" fillId="0" borderId="8" xfId="0" applyNumberFormat="1" applyFont="1" applyBorder="1"/>
    <xf numFmtId="0" fontId="0" fillId="0" borderId="1" xfId="0" applyFont="1" applyFill="1" applyBorder="1" applyProtection="1"/>
    <xf numFmtId="0" fontId="3" fillId="0" borderId="1" xfId="0" applyFont="1" applyBorder="1"/>
    <xf numFmtId="0" fontId="0" fillId="0" borderId="7" xfId="0" applyFont="1" applyFill="1" applyBorder="1"/>
    <xf numFmtId="164" fontId="0" fillId="0" borderId="2" xfId="0" applyNumberFormat="1" applyFont="1" applyFill="1" applyBorder="1"/>
    <xf numFmtId="0" fontId="2" fillId="0" borderId="1" xfId="0" applyFont="1" applyFill="1" applyBorder="1"/>
    <xf numFmtId="164" fontId="0" fillId="0" borderId="2" xfId="0" applyNumberFormat="1" applyFont="1" applyBorder="1"/>
    <xf numFmtId="0" fontId="1" fillId="0" borderId="3" xfId="0" applyFont="1" applyFill="1" applyBorder="1" applyProtection="1"/>
    <xf numFmtId="0" fontId="0" fillId="0" borderId="0" xfId="0" applyFill="1" applyProtection="1"/>
    <xf numFmtId="0" fontId="0" fillId="0" borderId="1" xfId="0" applyFill="1" applyBorder="1" applyProtection="1"/>
    <xf numFmtId="14" fontId="0" fillId="0" borderId="1" xfId="0" applyNumberFormat="1" applyFont="1" applyFill="1" applyBorder="1" applyProtection="1"/>
  </cellXfs>
  <cellStyles count="1">
    <cellStyle name="Обычный" xfId="0" builtinId="0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B0F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strike/>
        <color theme="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FF5050"/>
      <color rgb="FFF9AD05"/>
      <color rgb="FFD60000"/>
      <color rgb="FFD7D4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$Y$2" lockText="1" noThreeD="1"/>
</file>

<file path=xl/ctrlProps/ctrlProp2.xml><?xml version="1.0" encoding="utf-8"?>
<formControlPr xmlns="http://schemas.microsoft.com/office/spreadsheetml/2009/9/main" objectType="CheckBox" fmlaLink="$Y$3" lockText="1" noThreeD="1"/>
</file>

<file path=xl/ctrlProps/ctrlProp3.xml><?xml version="1.0" encoding="utf-8"?>
<formControlPr xmlns="http://schemas.microsoft.com/office/spreadsheetml/2009/9/main" objectType="CheckBox" fmlaLink="$Y$4" lockText="1" noThreeD="1"/>
</file>

<file path=xl/ctrlProps/ctrlProp4.xml><?xml version="1.0" encoding="utf-8"?>
<formControlPr xmlns="http://schemas.microsoft.com/office/spreadsheetml/2009/9/main" objectType="CheckBox" fmlaLink="$Y$5" lockText="1" noThreeD="1"/>
</file>

<file path=xl/ctrlProps/ctrlProp5.xml><?xml version="1.0" encoding="utf-8"?>
<formControlPr xmlns="http://schemas.microsoft.com/office/spreadsheetml/2009/9/main" objectType="CheckBox" fmlaLink="$Y$6" lockText="1" noThreeD="1"/>
</file>

<file path=xl/ctrlProps/ctrlProp6.xml><?xml version="1.0" encoding="utf-8"?>
<formControlPr xmlns="http://schemas.microsoft.com/office/spreadsheetml/2009/9/main" objectType="CheckBox" fmlaLink="#REF!" lockText="1" noThreeD="1"/>
</file>

<file path=xl/ctrlProps/ctrlProp7.xml><?xml version="1.0" encoding="utf-8"?>
<formControlPr xmlns="http://schemas.microsoft.com/office/spreadsheetml/2009/9/main" objectType="CheckBox" fmlaLink="#REF!" lockText="1" noThreeD="1"/>
</file>

<file path=xl/ctrlProps/ctrlProp8.xml><?xml version="1.0" encoding="utf-8"?>
<formControlPr xmlns="http://schemas.microsoft.com/office/spreadsheetml/2009/9/main" objectType="CheckBox" fmlaLink="#REF!" lockText="1" noThreeD="1"/>
</file>

<file path=xl/ctrlProps/ctrlProp9.xml><?xml version="1.0" encoding="utf-8"?>
<formControlPr xmlns="http://schemas.microsoft.com/office/spreadsheetml/2009/9/main" objectType="CheckBox" fmlaLink="#REF!" lockText="1" noThreeD="1"/>
</file>

<file path=xl/ctrlProps/ctrlProp10.xml><?xml version="1.0" encoding="utf-8"?>
<formControlPr xmlns="http://schemas.microsoft.com/office/spreadsheetml/2009/9/main" objectType="CheckBox" fmlaLink="#REF!" lockText="1" noThreeD="1"/>
</file>

<file path=xl/ctrlProps/ctrlProp11.xml><?xml version="1.0" encoding="utf-8"?>
<formControlPr xmlns="http://schemas.microsoft.com/office/spreadsheetml/2009/9/main" objectType="CheckBox" fmlaLink="#REF!" lockText="1" noThreeD="1"/>
</file>

<file path=xl/ctrlProps/ctrlProp12.xml><?xml version="1.0" encoding="utf-8"?>
<formControlPr xmlns="http://schemas.microsoft.com/office/spreadsheetml/2009/9/main" objectType="CheckBox" fmlaLink="#REF!" lockText="1" noThreeD="1"/>
</file>

<file path=xl/ctrlProps/ctrlProp13.xml><?xml version="1.0" encoding="utf-8"?>
<formControlPr xmlns="http://schemas.microsoft.com/office/spreadsheetml/2009/9/main" objectType="CheckBox" fmlaLink="#REF!" lockText="1" noThreeD="1"/>
</file>

<file path=xl/ctrlProps/ctrlProp14.xml><?xml version="1.0" encoding="utf-8"?>
<formControlPr xmlns="http://schemas.microsoft.com/office/spreadsheetml/2009/9/main" objectType="CheckBox" fmlaLink="#REF!" lockText="1" noThreeD="1"/>
</file>

<file path=xl/ctrlProps/ctrlProp15.xml><?xml version="1.0" encoding="utf-8"?>
<formControlPr xmlns="http://schemas.microsoft.com/office/spreadsheetml/2009/9/main" objectType="CheckBox" fmlaLink="#REF!" lockText="1" noThreeD="1"/>
</file>

<file path=xl/ctrlProps/ctrlProp16.xml><?xml version="1.0" encoding="utf-8"?>
<formControlPr xmlns="http://schemas.microsoft.com/office/spreadsheetml/2009/9/main" objectType="CheckBox" fmlaLink="#REF!" lockText="1" noThreeD="1"/>
</file>

<file path=xl/ctrlProps/ctrlProp17.xml><?xml version="1.0" encoding="utf-8"?>
<formControlPr xmlns="http://schemas.microsoft.com/office/spreadsheetml/2009/9/main" objectType="CheckBox" fmlaLink="#REF!" lockText="1" noThreeD="1"/>
</file>

<file path=xl/ctrlProps/ctrlProp18.xml><?xml version="1.0" encoding="utf-8"?>
<formControlPr xmlns="http://schemas.microsoft.com/office/spreadsheetml/2009/9/main" objectType="CheckBox" fmlaLink="$Y$7" lockText="1" noThreeD="1"/>
</file>

<file path=xl/ctrlProps/ctrlProp19.xml><?xml version="1.0" encoding="utf-8"?>
<formControlPr xmlns="http://schemas.microsoft.com/office/spreadsheetml/2009/9/main" objectType="CheckBox" fmlaLink="#REF!" lockText="1" noThreeD="1"/>
</file>

<file path=xl/ctrlProps/ctrlProp20.xml><?xml version="1.0" encoding="utf-8"?>
<formControlPr xmlns="http://schemas.microsoft.com/office/spreadsheetml/2009/9/main" objectType="CheckBox" fmlaLink="$Y$30" lockText="1" noThreeD="1"/>
</file>

<file path=xl/ctrlProps/ctrlProp21.xml><?xml version="1.0" encoding="utf-8"?>
<formControlPr xmlns="http://schemas.microsoft.com/office/spreadsheetml/2009/9/main" objectType="CheckBox" fmlaLink="$Y$31" lockText="1" noThreeD="1"/>
</file>

<file path=xl/ctrlProps/ctrlProp22.xml><?xml version="1.0" encoding="utf-8"?>
<formControlPr xmlns="http://schemas.microsoft.com/office/spreadsheetml/2009/9/main" objectType="CheckBox" fmlaLink="$Y$32" lockText="1" noThreeD="1"/>
</file>

<file path=xl/ctrlProps/ctrlProp23.xml><?xml version="1.0" encoding="utf-8"?>
<formControlPr xmlns="http://schemas.microsoft.com/office/spreadsheetml/2009/9/main" objectType="CheckBox" fmlaLink="$Y$33" lockText="1" noThreeD="1"/>
</file>

<file path=xl/ctrlProps/ctrlProp24.xml><?xml version="1.0" encoding="utf-8"?>
<formControlPr xmlns="http://schemas.microsoft.com/office/spreadsheetml/2009/9/main" objectType="CheckBox" fmlaLink="$Y$34" lockText="1" noThreeD="1"/>
</file>

<file path=xl/ctrlProps/ctrlProp25.xml><?xml version="1.0" encoding="utf-8"?>
<formControlPr xmlns="http://schemas.microsoft.com/office/spreadsheetml/2009/9/main" objectType="CheckBox" fmlaLink="$Y$35" lockText="1" noThreeD="1"/>
</file>

<file path=xl/ctrlProps/ctrlProp26.xml><?xml version="1.0" encoding="utf-8"?>
<formControlPr xmlns="http://schemas.microsoft.com/office/spreadsheetml/2009/9/main" objectType="CheckBox" fmlaLink="$Y$36" lockText="1" noThreeD="1"/>
</file>

<file path=xl/ctrlProps/ctrlProp27.xml><?xml version="1.0" encoding="utf-8"?>
<formControlPr xmlns="http://schemas.microsoft.com/office/spreadsheetml/2009/9/main" objectType="CheckBox" fmlaLink="#REF!" lockText="1" noThreeD="1"/>
</file>

<file path=xl/ctrlProps/ctrlProp28.xml><?xml version="1.0" encoding="utf-8"?>
<formControlPr xmlns="http://schemas.microsoft.com/office/spreadsheetml/2009/9/main" objectType="CheckBox" fmlaLink="$Y$37" lockText="1" noThreeD="1"/>
</file>

<file path=xl/ctrlProps/ctrlProp29.xml><?xml version="1.0" encoding="utf-8"?>
<formControlPr xmlns="http://schemas.microsoft.com/office/spreadsheetml/2009/9/main" objectType="CheckBox" fmlaLink="#REF!" lockText="1" noThreeD="1"/>
</file>

<file path=xl/ctrlProps/ctrlProp30.xml><?xml version="1.0" encoding="utf-8"?>
<formControlPr xmlns="http://schemas.microsoft.com/office/spreadsheetml/2009/9/main" objectType="CheckBox" fmlaLink="$Y$38" lockText="1" noThreeD="1"/>
</file>

<file path=xl/ctrlProps/ctrlProp31.xml><?xml version="1.0" encoding="utf-8"?>
<formControlPr xmlns="http://schemas.microsoft.com/office/spreadsheetml/2009/9/main" objectType="CheckBox" fmlaLink="$Y$39" lockText="1" noThreeD="1"/>
</file>

<file path=xl/ctrlProps/ctrlProp32.xml><?xml version="1.0" encoding="utf-8"?>
<formControlPr xmlns="http://schemas.microsoft.com/office/spreadsheetml/2009/9/main" objectType="CheckBox" fmlaLink="$Y$40" lockText="1" noThreeD="1"/>
</file>

<file path=xl/ctrlProps/ctrlProp33.xml><?xml version="1.0" encoding="utf-8"?>
<formControlPr xmlns="http://schemas.microsoft.com/office/spreadsheetml/2009/9/main" objectType="CheckBox" fmlaLink="#REF!" lockText="1" noThreeD="1"/>
</file>

<file path=xl/ctrlProps/ctrlProp34.xml><?xml version="1.0" encoding="utf-8"?>
<formControlPr xmlns="http://schemas.microsoft.com/office/spreadsheetml/2009/9/main" objectType="CheckBox" fmlaLink="#REF!" lockText="1" noThreeD="1"/>
</file>

<file path=xl/ctrlProps/ctrlProp35.xml><?xml version="1.0" encoding="utf-8"?>
<formControlPr xmlns="http://schemas.microsoft.com/office/spreadsheetml/2009/9/main" objectType="CheckBox" fmlaLink="$Y$41" lockText="1" noThreeD="1"/>
</file>

<file path=xl/ctrlProps/ctrlProp36.xml><?xml version="1.0" encoding="utf-8"?>
<formControlPr xmlns="http://schemas.microsoft.com/office/spreadsheetml/2009/9/main" objectType="CheckBox" fmlaLink="$Y$47" lockText="1" noThreeD="1"/>
</file>

<file path=xl/ctrlProps/ctrlProp37.xml><?xml version="1.0" encoding="utf-8"?>
<formControlPr xmlns="http://schemas.microsoft.com/office/spreadsheetml/2009/9/main" objectType="CheckBox" fmlaLink="$Y$48" lockText="1" noThreeD="1"/>
</file>

<file path=xl/ctrlProps/ctrlProp38.xml><?xml version="1.0" encoding="utf-8"?>
<formControlPr xmlns="http://schemas.microsoft.com/office/spreadsheetml/2009/9/main" objectType="CheckBox" fmlaLink="$Y$49" lockText="1" noThreeD="1"/>
</file>

<file path=xl/ctrlProps/ctrlProp39.xml><?xml version="1.0" encoding="utf-8"?>
<formControlPr xmlns="http://schemas.microsoft.com/office/spreadsheetml/2009/9/main" objectType="CheckBox" fmlaLink="$Y$50" lockText="1" noThreeD="1"/>
</file>

<file path=xl/ctrlProps/ctrlProp40.xml><?xml version="1.0" encoding="utf-8"?>
<formControlPr xmlns="http://schemas.microsoft.com/office/spreadsheetml/2009/9/main" objectType="CheckBox" fmlaLink="#REF!" lockText="1" noThreeD="1"/>
</file>

<file path=xl/ctrlProps/ctrlProp41.xml><?xml version="1.0" encoding="utf-8"?>
<formControlPr xmlns="http://schemas.microsoft.com/office/spreadsheetml/2009/9/main" objectType="CheckBox" fmlaLink="#REF!" lockText="1" noThreeD="1"/>
</file>

<file path=xl/ctrlProps/ctrlProp42.xml><?xml version="1.0" encoding="utf-8"?>
<formControlPr xmlns="http://schemas.microsoft.com/office/spreadsheetml/2009/9/main" objectType="CheckBox" fmlaLink="$Y$51" lockText="1" noThreeD="1"/>
</file>

<file path=xl/ctrlProps/ctrlProp43.xml><?xml version="1.0" encoding="utf-8"?>
<formControlPr xmlns="http://schemas.microsoft.com/office/spreadsheetml/2009/9/main" objectType="CheckBox" fmlaLink="$Y$52" lockText="1" noThreeD="1"/>
</file>

<file path=xl/ctrlProps/ctrlProp44.xml><?xml version="1.0" encoding="utf-8"?>
<formControlPr xmlns="http://schemas.microsoft.com/office/spreadsheetml/2009/9/main" objectType="CheckBox" fmlaLink="$Y$53" lockText="1" noThreeD="1"/>
</file>

<file path=xl/ctrlProps/ctrlProp45.xml><?xml version="1.0" encoding="utf-8"?>
<formControlPr xmlns="http://schemas.microsoft.com/office/spreadsheetml/2009/9/main" objectType="CheckBox" fmlaLink="$Y$54" lockText="1" noThreeD="1"/>
</file>

<file path=xl/ctrlProps/ctrlProp46.xml><?xml version="1.0" encoding="utf-8"?>
<formControlPr xmlns="http://schemas.microsoft.com/office/spreadsheetml/2009/9/main" objectType="CheckBox" fmlaLink="$Y$55" lockText="1" noThreeD="1"/>
</file>

<file path=xl/ctrlProps/ctrlProp47.xml><?xml version="1.0" encoding="utf-8"?>
<formControlPr xmlns="http://schemas.microsoft.com/office/spreadsheetml/2009/9/main" objectType="CheckBox" fmlaLink="$Y$56" lockText="1" noThreeD="1"/>
</file>

<file path=xl/ctrlProps/ctrlProp48.xml><?xml version="1.0" encoding="utf-8"?>
<formControlPr xmlns="http://schemas.microsoft.com/office/spreadsheetml/2009/9/main" objectType="CheckBox" fmlaLink="$Y$57" lockText="1" noThreeD="1"/>
</file>

<file path=xl/ctrlProps/ctrlProp49.xml><?xml version="1.0" encoding="utf-8"?>
<formControlPr xmlns="http://schemas.microsoft.com/office/spreadsheetml/2009/9/main" objectType="CheckBox" fmlaLink="$Y$58" lockText="1" noThreeD="1"/>
</file>

<file path=xl/ctrlProps/ctrlProp50.xml><?xml version="1.0" encoding="utf-8"?>
<formControlPr xmlns="http://schemas.microsoft.com/office/spreadsheetml/2009/9/main" objectType="CheckBox" fmlaLink="$Y$59" lockText="1" noThreeD="1"/>
</file>

<file path=xl/ctrlProps/ctrlProp51.xml><?xml version="1.0" encoding="utf-8"?>
<formControlPr xmlns="http://schemas.microsoft.com/office/spreadsheetml/2009/9/main" objectType="CheckBox" fmlaLink="$Y$60" lockText="1" noThreeD="1"/>
</file>

<file path=xl/ctrlProps/ctrlProp52.xml><?xml version="1.0" encoding="utf-8"?>
<formControlPr xmlns="http://schemas.microsoft.com/office/spreadsheetml/2009/9/main" objectType="CheckBox" fmlaLink="$Y$61" lockText="1" noThreeD="1"/>
</file>

<file path=xl/ctrlProps/ctrlProp53.xml><?xml version="1.0" encoding="utf-8"?>
<formControlPr xmlns="http://schemas.microsoft.com/office/spreadsheetml/2009/9/main" objectType="CheckBox" fmlaLink="$Y$62" lockText="1" noThreeD="1"/>
</file>

<file path=xl/ctrlProps/ctrlProp54.xml><?xml version="1.0" encoding="utf-8"?>
<formControlPr xmlns="http://schemas.microsoft.com/office/spreadsheetml/2009/9/main" objectType="CheckBox" fmlaLink="$Y$63" lockText="1" noThreeD="1"/>
</file>

<file path=xl/ctrlProps/ctrlProp55.xml><?xml version="1.0" encoding="utf-8"?>
<formControlPr xmlns="http://schemas.microsoft.com/office/spreadsheetml/2009/9/main" objectType="CheckBox" fmlaLink="$Y$64" lockText="1" noThreeD="1"/>
</file>

<file path=xl/ctrlProps/ctrlProp56.xml><?xml version="1.0" encoding="utf-8"?>
<formControlPr xmlns="http://schemas.microsoft.com/office/spreadsheetml/2009/9/main" objectType="CheckBox" fmlaLink="$Y$65" lockText="1" noThreeD="1"/>
</file>

<file path=xl/ctrlProps/ctrlProp57.xml><?xml version="1.0" encoding="utf-8"?>
<formControlPr xmlns="http://schemas.microsoft.com/office/spreadsheetml/2009/9/main" objectType="CheckBox" fmlaLink="$Y$66" lockText="1" noThreeD="1"/>
</file>

<file path=xl/ctrlProps/ctrlProp58.xml><?xml version="1.0" encoding="utf-8"?>
<formControlPr xmlns="http://schemas.microsoft.com/office/spreadsheetml/2009/9/main" objectType="CheckBox" fmlaLink="$Y$67" lockText="1" noThreeD="1"/>
</file>

<file path=xl/ctrlProps/ctrlProp59.xml><?xml version="1.0" encoding="utf-8"?>
<formControlPr xmlns="http://schemas.microsoft.com/office/spreadsheetml/2009/9/main" objectType="CheckBox" fmlaLink="$Y$68" lockText="1" noThreeD="1"/>
</file>

<file path=xl/ctrlProps/ctrlProp60.xml><?xml version="1.0" encoding="utf-8"?>
<formControlPr xmlns="http://schemas.microsoft.com/office/spreadsheetml/2009/9/main" objectType="CheckBox" fmlaLink="$Y$69" lockText="1" noThreeD="1"/>
</file>

<file path=xl/ctrlProps/ctrlProp61.xml><?xml version="1.0" encoding="utf-8"?>
<formControlPr xmlns="http://schemas.microsoft.com/office/spreadsheetml/2009/9/main" objectType="CheckBox" fmlaLink="$Y$70" lockText="1" noThreeD="1"/>
</file>

<file path=xl/ctrlProps/ctrlProp62.xml><?xml version="1.0" encoding="utf-8"?>
<formControlPr xmlns="http://schemas.microsoft.com/office/spreadsheetml/2009/9/main" objectType="CheckBox" fmlaLink="$Y$71" lockText="1" noThreeD="1"/>
</file>

<file path=xl/ctrlProps/ctrlProp63.xml><?xml version="1.0" encoding="utf-8"?>
<formControlPr xmlns="http://schemas.microsoft.com/office/spreadsheetml/2009/9/main" objectType="CheckBox" fmlaLink="$Y$15" lockText="1" noThreeD="1"/>
</file>

<file path=xl/ctrlProps/ctrlProp64.xml><?xml version="1.0" encoding="utf-8"?>
<formControlPr xmlns="http://schemas.microsoft.com/office/spreadsheetml/2009/9/main" objectType="CheckBox" fmlaLink="$Y$16" lockText="1" noThreeD="1"/>
</file>

<file path=xl/ctrlProps/ctrlProp65.xml><?xml version="1.0" encoding="utf-8"?>
<formControlPr xmlns="http://schemas.microsoft.com/office/spreadsheetml/2009/9/main" objectType="CheckBox" fmlaLink="$Y$17" lockText="1" noThreeD="1"/>
</file>

<file path=xl/ctrlProps/ctrlProp66.xml><?xml version="1.0" encoding="utf-8"?>
<formControlPr xmlns="http://schemas.microsoft.com/office/spreadsheetml/2009/9/main" objectType="CheckBox" fmlaLink="$Y$18" lockText="1" noThreeD="1"/>
</file>

<file path=xl/ctrlProps/ctrlProp67.xml><?xml version="1.0" encoding="utf-8"?>
<formControlPr xmlns="http://schemas.microsoft.com/office/spreadsheetml/2009/9/main" objectType="CheckBox" fmlaLink="$Y$19" lockText="1" noThreeD="1"/>
</file>

<file path=xl/ctrlProps/ctrlProp68.xml><?xml version="1.0" encoding="utf-8"?>
<formControlPr xmlns="http://schemas.microsoft.com/office/spreadsheetml/2009/9/main" objectType="CheckBox" fmlaLink="$Y$26" lockText="1" noThreeD="1"/>
</file>

<file path=xl/ctrlProps/ctrlProp69.xml><?xml version="1.0" encoding="utf-8"?>
<formControlPr xmlns="http://schemas.microsoft.com/office/spreadsheetml/2009/9/main" objectType="CheckBox" fmlaLink="$Y$27" lockText="1" noThreeD="1"/>
</file>

<file path=xl/ctrlProps/ctrlProp70.xml><?xml version="1.0" encoding="utf-8"?>
<formControlPr xmlns="http://schemas.microsoft.com/office/spreadsheetml/2009/9/main" objectType="CheckBox" fmlaLink="$Y$28" lockText="1" noThreeD="1"/>
</file>

<file path=xl/ctrlProps/ctrlProp71.xml><?xml version="1.0" encoding="utf-8"?>
<formControlPr xmlns="http://schemas.microsoft.com/office/spreadsheetml/2009/9/main" objectType="CheckBox" fmlaLink="$Y$29" lockText="1" noThreeD="1"/>
</file>

<file path=xl/ctrlProps/ctrlProp72.xml><?xml version="1.0" encoding="utf-8"?>
<formControlPr xmlns="http://schemas.microsoft.com/office/spreadsheetml/2009/9/main" objectType="CheckBox" fmlaLink="$Y$20" lockText="1" noThreeD="1"/>
</file>

<file path=xl/ctrlProps/ctrlProp73.xml><?xml version="1.0" encoding="utf-8"?>
<formControlPr xmlns="http://schemas.microsoft.com/office/spreadsheetml/2009/9/main" objectType="CheckBox" fmlaLink="$Y$21" lockText="1" noThreeD="1"/>
</file>

<file path=xl/ctrlProps/ctrlProp74.xml><?xml version="1.0" encoding="utf-8"?>
<formControlPr xmlns="http://schemas.microsoft.com/office/spreadsheetml/2009/9/main" objectType="CheckBox" fmlaLink="$Y$22" lockText="1" noThreeD="1"/>
</file>

<file path=xl/ctrlProps/ctrlProp75.xml><?xml version="1.0" encoding="utf-8"?>
<formControlPr xmlns="http://schemas.microsoft.com/office/spreadsheetml/2009/9/main" objectType="CheckBox" fmlaLink="$Y$23" lockText="1" noThreeD="1"/>
</file>

<file path=xl/ctrlProps/ctrlProp76.xml><?xml version="1.0" encoding="utf-8"?>
<formControlPr xmlns="http://schemas.microsoft.com/office/spreadsheetml/2009/9/main" objectType="CheckBox" fmlaLink="$Y$24" lockText="1" noThreeD="1"/>
</file>

<file path=xl/ctrlProps/ctrlProp77.xml><?xml version="1.0" encoding="utf-8"?>
<formControlPr xmlns="http://schemas.microsoft.com/office/spreadsheetml/2009/9/main" objectType="CheckBox" fmlaLink="$Y$42" lockText="1" noThreeD="1"/>
</file>

<file path=xl/ctrlProps/ctrlProp78.xml><?xml version="1.0" encoding="utf-8"?>
<formControlPr xmlns="http://schemas.microsoft.com/office/spreadsheetml/2009/9/main" objectType="CheckBox" fmlaLink="$Y$43" lockText="1" noThreeD="1"/>
</file>

<file path=xl/ctrlProps/ctrlProp79.xml><?xml version="1.0" encoding="utf-8"?>
<formControlPr xmlns="http://schemas.microsoft.com/office/spreadsheetml/2009/9/main" objectType="CheckBox" fmlaLink="$Y$44" lockText="1" noThreeD="1"/>
</file>

<file path=xl/ctrlProps/ctrlProp80.xml><?xml version="1.0" encoding="utf-8"?>
<formControlPr xmlns="http://schemas.microsoft.com/office/spreadsheetml/2009/9/main" objectType="CheckBox" fmlaLink="$Y$45" lockText="1" noThreeD="1"/>
</file>

<file path=xl/ctrlProps/ctrlProp81.xml><?xml version="1.0" encoding="utf-8"?>
<formControlPr xmlns="http://schemas.microsoft.com/office/spreadsheetml/2009/9/main" objectType="CheckBox" fmlaLink="$Y$46" lockText="1" noThreeD="1"/>
</file>

<file path=xl/ctrlProps/ctrlProp82.xml><?xml version="1.0" encoding="utf-8"?>
<formControlPr xmlns="http://schemas.microsoft.com/office/spreadsheetml/2009/9/main" objectType="CheckBox" fmlaLink="$Y$8" lockText="1" noThreeD="1"/>
</file>

<file path=xl/ctrlProps/ctrlProp83.xml><?xml version="1.0" encoding="utf-8"?>
<formControlPr xmlns="http://schemas.microsoft.com/office/spreadsheetml/2009/9/main" objectType="CheckBox" fmlaLink="$Y$9" lockText="1" noThreeD="1"/>
</file>

<file path=xl/ctrlProps/ctrlProp84.xml><?xml version="1.0" encoding="utf-8"?>
<formControlPr xmlns="http://schemas.microsoft.com/office/spreadsheetml/2009/9/main" objectType="CheckBox" fmlaLink="$Y$10" lockText="1" noThreeD="1"/>
</file>

<file path=xl/ctrlProps/ctrlProp85.xml><?xml version="1.0" encoding="utf-8"?>
<formControlPr xmlns="http://schemas.microsoft.com/office/spreadsheetml/2009/9/main" objectType="CheckBox" fmlaLink="$Y$11" lockText="1" noThreeD="1"/>
</file>

<file path=xl/ctrlProps/ctrlProp86.xml><?xml version="1.0" encoding="utf-8"?>
<formControlPr xmlns="http://schemas.microsoft.com/office/spreadsheetml/2009/9/main" objectType="CheckBox" fmlaLink="$Y$12" lockText="1" noThreeD="1"/>
</file>

<file path=xl/ctrlProps/ctrlProp87.xml><?xml version="1.0" encoding="utf-8"?>
<formControlPr xmlns="http://schemas.microsoft.com/office/spreadsheetml/2009/9/main" objectType="CheckBox" fmlaLink="$Y$13" lockText="1" noThreeD="1"/>
</file>

<file path=xl/ctrlProps/ctrlProp88.xml><?xml version="1.0" encoding="utf-8"?>
<formControlPr xmlns="http://schemas.microsoft.com/office/spreadsheetml/2009/9/main" objectType="CheckBox" fmlaLink="$Y$14" lockText="1" noThreeD="1"/>
</file>

<file path=xl/ctrlProps/ctrlProp89.xml><?xml version="1.0" encoding="utf-8"?>
<formControlPr xmlns="http://schemas.microsoft.com/office/spreadsheetml/2009/9/main" objectType="CheckBox" fmlaLink="$Y$72" lockText="1" noThreeD="1"/>
</file>

<file path=xl/ctrlProps/ctrlProp90.xml><?xml version="1.0" encoding="utf-8"?>
<formControlPr xmlns="http://schemas.microsoft.com/office/spreadsheetml/2009/9/main" objectType="CheckBox" fmlaLink="$Y$73" lockText="1" noThreeD="1"/>
</file>

<file path=xl/ctrlProps/ctrlProp91.xml><?xml version="1.0" encoding="utf-8"?>
<formControlPr xmlns="http://schemas.microsoft.com/office/spreadsheetml/2009/9/main" objectType="CheckBox" fmlaLink="$Y$74" lockText="1" noThreeD="1"/>
</file>

<file path=xl/ctrlProps/ctrlProp92.xml><?xml version="1.0" encoding="utf-8"?>
<formControlPr xmlns="http://schemas.microsoft.com/office/spreadsheetml/2009/9/main" objectType="CheckBox" fmlaLink="$Y$75" lockText="1" noThreeD="1"/>
</file>

<file path=xl/ctrlProps/ctrlProp93.xml><?xml version="1.0" encoding="utf-8"?>
<formControlPr xmlns="http://schemas.microsoft.com/office/spreadsheetml/2009/9/main" objectType="CheckBox" fmlaLink="$Y$76" lockText="1" noThreeD="1"/>
</file>

<file path=xl/ctrlProps/ctrlProp94.xml><?xml version="1.0" encoding="utf-8"?>
<formControlPr xmlns="http://schemas.microsoft.com/office/spreadsheetml/2009/9/main" objectType="CheckBox" fmlaLink="$Y$86" lockText="1" noThreeD="1"/>
</file>

<file path=xl/ctrlProps/ctrlProp95.xml><?xml version="1.0" encoding="utf-8"?>
<formControlPr xmlns="http://schemas.microsoft.com/office/spreadsheetml/2009/9/main" objectType="CheckBox" fmlaLink="$Y$87" lockText="1" noThreeD="1"/>
</file>

<file path=xl/ctrlProps/ctrlProp96.xml><?xml version="1.0" encoding="utf-8"?>
<formControlPr xmlns="http://schemas.microsoft.com/office/spreadsheetml/2009/9/main" objectType="CheckBox" fmlaLink="$Y$88" lockText="1" noThreeD="1"/>
</file>

<file path=xl/ctrlProps/ctrlProp97.xml><?xml version="1.0" encoding="utf-8"?>
<formControlPr xmlns="http://schemas.microsoft.com/office/spreadsheetml/2009/9/main" objectType="CheckBox" fmlaLink="$Y$89" lockText="1" noThreeD="1"/>
</file>

<file path=xl/ctrlProps/ctrlProp98.xml><?xml version="1.0" encoding="utf-8"?>
<formControlPr xmlns="http://schemas.microsoft.com/office/spreadsheetml/2009/9/main" objectType="CheckBox" fmlaLink="$Y$90" lockText="1" noThreeD="1"/>
</file>

<file path=xl/ctrlProps/ctrlProp99.xml><?xml version="1.0" encoding="utf-8"?>
<formControlPr xmlns="http://schemas.microsoft.com/office/spreadsheetml/2009/9/main" objectType="CheckBox" fmlaLink="$Y$91" lockText="1" noThreeD="1"/>
</file>

<file path=xl/ctrlProps/ctrlProp100.xml><?xml version="1.0" encoding="utf-8"?>
<formControlPr xmlns="http://schemas.microsoft.com/office/spreadsheetml/2009/9/main" objectType="CheckBox" fmlaLink="$Y$92" lockText="1" noThreeD="1"/>
</file>

<file path=xl/ctrlProps/ctrlProp101.xml><?xml version="1.0" encoding="utf-8"?>
<formControlPr xmlns="http://schemas.microsoft.com/office/spreadsheetml/2009/9/main" objectType="CheckBox" fmlaLink="$Y$93" lockText="1" noThreeD="1"/>
</file>

<file path=xl/ctrlProps/ctrlProp102.xml><?xml version="1.0" encoding="utf-8"?>
<formControlPr xmlns="http://schemas.microsoft.com/office/spreadsheetml/2009/9/main" objectType="CheckBox" fmlaLink="$Y$94" lockText="1" noThreeD="1"/>
</file>

<file path=xl/ctrlProps/ctrlProp103.xml><?xml version="1.0" encoding="utf-8"?>
<formControlPr xmlns="http://schemas.microsoft.com/office/spreadsheetml/2009/9/main" objectType="CheckBox" fmlaLink="$Y$95" lockText="1" noThreeD="1"/>
</file>

<file path=xl/ctrlProps/ctrlProp104.xml><?xml version="1.0" encoding="utf-8"?>
<formControlPr xmlns="http://schemas.microsoft.com/office/spreadsheetml/2009/9/main" objectType="CheckBox" fmlaLink="$Y$96" lockText="1" noThreeD="1"/>
</file>

<file path=xl/ctrlProps/ctrlProp105.xml><?xml version="1.0" encoding="utf-8"?>
<formControlPr xmlns="http://schemas.microsoft.com/office/spreadsheetml/2009/9/main" objectType="CheckBox" fmlaLink="$Y$97" lockText="1" noThreeD="1"/>
</file>

<file path=xl/ctrlProps/ctrlProp106.xml><?xml version="1.0" encoding="utf-8"?>
<formControlPr xmlns="http://schemas.microsoft.com/office/spreadsheetml/2009/9/main" objectType="CheckBox" fmlaLink="$Y$98" lockText="1" noThreeD="1"/>
</file>

<file path=xl/ctrlProps/ctrlProp107.xml><?xml version="1.0" encoding="utf-8"?>
<formControlPr xmlns="http://schemas.microsoft.com/office/spreadsheetml/2009/9/main" objectType="CheckBox" fmlaLink="$Y$99" lockText="1" noThreeD="1"/>
</file>

<file path=xl/ctrlProps/ctrlProp108.xml><?xml version="1.0" encoding="utf-8"?>
<formControlPr xmlns="http://schemas.microsoft.com/office/spreadsheetml/2009/9/main" objectType="CheckBox" fmlaLink="$Y$100" lockText="1" noThreeD="1"/>
</file>

<file path=xl/ctrlProps/ctrlProp109.xml><?xml version="1.0" encoding="utf-8"?>
<formControlPr xmlns="http://schemas.microsoft.com/office/spreadsheetml/2009/9/main" objectType="CheckBox" fmlaLink="$Y$101" lockText="1" noThreeD="1"/>
</file>

<file path=xl/ctrlProps/ctrlProp110.xml><?xml version="1.0" encoding="utf-8"?>
<formControlPr xmlns="http://schemas.microsoft.com/office/spreadsheetml/2009/9/main" objectType="CheckBox" fmlaLink="$Y$102" lockText="1" noThreeD="1"/>
</file>

<file path=xl/ctrlProps/ctrlProp111.xml><?xml version="1.0" encoding="utf-8"?>
<formControlPr xmlns="http://schemas.microsoft.com/office/spreadsheetml/2009/9/main" objectType="CheckBox" fmlaLink="$Y$103" lockText="1" noThreeD="1"/>
</file>

<file path=xl/ctrlProps/ctrlProp112.xml><?xml version="1.0" encoding="utf-8"?>
<formControlPr xmlns="http://schemas.microsoft.com/office/spreadsheetml/2009/9/main" objectType="CheckBox" fmlaLink="$Y$104" lockText="1" noThreeD="1"/>
</file>

<file path=xl/ctrlProps/ctrlProp113.xml><?xml version="1.0" encoding="utf-8"?>
<formControlPr xmlns="http://schemas.microsoft.com/office/spreadsheetml/2009/9/main" objectType="CheckBox" fmlaLink="$Y$105" lockText="1" noThreeD="1"/>
</file>

<file path=xl/ctrlProps/ctrlProp114.xml><?xml version="1.0" encoding="utf-8"?>
<formControlPr xmlns="http://schemas.microsoft.com/office/spreadsheetml/2009/9/main" objectType="CheckBox" fmlaLink="$Y$106" lockText="1" noThreeD="1"/>
</file>

<file path=xl/ctrlProps/ctrlProp115.xml><?xml version="1.0" encoding="utf-8"?>
<formControlPr xmlns="http://schemas.microsoft.com/office/spreadsheetml/2009/9/main" objectType="CheckBox" fmlaLink="$Y$107" lockText="1" noThreeD="1"/>
</file>

<file path=xl/ctrlProps/ctrlProp116.xml><?xml version="1.0" encoding="utf-8"?>
<formControlPr xmlns="http://schemas.microsoft.com/office/spreadsheetml/2009/9/main" objectType="CheckBox" fmlaLink="$Y$108" lockText="1" noThreeD="1"/>
</file>

<file path=xl/ctrlProps/ctrlProp117.xml><?xml version="1.0" encoding="utf-8"?>
<formControlPr xmlns="http://schemas.microsoft.com/office/spreadsheetml/2009/9/main" objectType="CheckBox" fmlaLink="$Y$109" lockText="1" noThreeD="1"/>
</file>

<file path=xl/ctrlProps/ctrlProp118.xml><?xml version="1.0" encoding="utf-8"?>
<formControlPr xmlns="http://schemas.microsoft.com/office/spreadsheetml/2009/9/main" objectType="CheckBox" fmlaLink="$Y$110" lockText="1" noThreeD="1"/>
</file>

<file path=xl/ctrlProps/ctrlProp119.xml><?xml version="1.0" encoding="utf-8"?>
<formControlPr xmlns="http://schemas.microsoft.com/office/spreadsheetml/2009/9/main" objectType="CheckBox" fmlaLink="$Y$111" lockText="1" noThreeD="1"/>
</file>

<file path=xl/ctrlProps/ctrlProp120.xml><?xml version="1.0" encoding="utf-8"?>
<formControlPr xmlns="http://schemas.microsoft.com/office/spreadsheetml/2009/9/main" objectType="CheckBox" fmlaLink="$Y$112" lockText="1" noThreeD="1"/>
</file>

<file path=xl/ctrlProps/ctrlProp121.xml><?xml version="1.0" encoding="utf-8"?>
<formControlPr xmlns="http://schemas.microsoft.com/office/spreadsheetml/2009/9/main" objectType="CheckBox" fmlaLink="$Y$113" lockText="1" noThreeD="1"/>
</file>

<file path=xl/ctrlProps/ctrlProp122.xml><?xml version="1.0" encoding="utf-8"?>
<formControlPr xmlns="http://schemas.microsoft.com/office/spreadsheetml/2009/9/main" objectType="CheckBox" fmlaLink="$Y$114" lockText="1" noThreeD="1"/>
</file>

<file path=xl/ctrlProps/ctrlProp123.xml><?xml version="1.0" encoding="utf-8"?>
<formControlPr xmlns="http://schemas.microsoft.com/office/spreadsheetml/2009/9/main" objectType="CheckBox" fmlaLink="$Y$115" lockText="1" noThreeD="1"/>
</file>

<file path=xl/ctrlProps/ctrlProp124.xml><?xml version="1.0" encoding="utf-8"?>
<formControlPr xmlns="http://schemas.microsoft.com/office/spreadsheetml/2009/9/main" objectType="CheckBox" fmlaLink="$Y$116" lockText="1" noThreeD="1"/>
</file>

<file path=xl/ctrlProps/ctrlProp125.xml><?xml version="1.0" encoding="utf-8"?>
<formControlPr xmlns="http://schemas.microsoft.com/office/spreadsheetml/2009/9/main" objectType="CheckBox" fmlaLink="$Y$117" lockText="1" noThreeD="1"/>
</file>

<file path=xl/ctrlProps/ctrlProp126.xml><?xml version="1.0" encoding="utf-8"?>
<formControlPr xmlns="http://schemas.microsoft.com/office/spreadsheetml/2009/9/main" objectType="CheckBox" fmlaLink="$Y$118" lockText="1" noThreeD="1"/>
</file>

<file path=xl/ctrlProps/ctrlProp127.xml><?xml version="1.0" encoding="utf-8"?>
<formControlPr xmlns="http://schemas.microsoft.com/office/spreadsheetml/2009/9/main" objectType="CheckBox" fmlaLink="$Y$119" lockText="1" noThreeD="1"/>
</file>

<file path=xl/ctrlProps/ctrlProp128.xml><?xml version="1.0" encoding="utf-8"?>
<formControlPr xmlns="http://schemas.microsoft.com/office/spreadsheetml/2009/9/main" objectType="CheckBox" fmlaLink="$Y$120" lockText="1" noThreeD="1"/>
</file>

<file path=xl/ctrlProps/ctrlProp129.xml><?xml version="1.0" encoding="utf-8"?>
<formControlPr xmlns="http://schemas.microsoft.com/office/spreadsheetml/2009/9/main" objectType="CheckBox" fmlaLink="$Y$121" lockText="1" noThreeD="1"/>
</file>

<file path=xl/ctrlProps/ctrlProp130.xml><?xml version="1.0" encoding="utf-8"?>
<formControlPr xmlns="http://schemas.microsoft.com/office/spreadsheetml/2009/9/main" objectType="CheckBox" fmlaLink="$Y$122" lockText="1" noThreeD="1"/>
</file>

<file path=xl/ctrlProps/ctrlProp131.xml><?xml version="1.0" encoding="utf-8"?>
<formControlPr xmlns="http://schemas.microsoft.com/office/spreadsheetml/2009/9/main" objectType="CheckBox" fmlaLink="$Y$123" lockText="1" noThreeD="1"/>
</file>

<file path=xl/ctrlProps/ctrlProp132.xml><?xml version="1.0" encoding="utf-8"?>
<formControlPr xmlns="http://schemas.microsoft.com/office/spreadsheetml/2009/9/main" objectType="CheckBox" fmlaLink="$Y$124" lockText="1" noThreeD="1"/>
</file>

<file path=xl/ctrlProps/ctrlProp133.xml><?xml version="1.0" encoding="utf-8"?>
<formControlPr xmlns="http://schemas.microsoft.com/office/spreadsheetml/2009/9/main" objectType="CheckBox" fmlaLink="$Y$125" lockText="1" noThreeD="1"/>
</file>

<file path=xl/ctrlProps/ctrlProp134.xml><?xml version="1.0" encoding="utf-8"?>
<formControlPr xmlns="http://schemas.microsoft.com/office/spreadsheetml/2009/9/main" objectType="CheckBox" fmlaLink="$Y$126" lockText="1" noThreeD="1"/>
</file>

<file path=xl/ctrlProps/ctrlProp135.xml><?xml version="1.0" encoding="utf-8"?>
<formControlPr xmlns="http://schemas.microsoft.com/office/spreadsheetml/2009/9/main" objectType="CheckBox" fmlaLink="$Y$127" lockText="1" noThreeD="1"/>
</file>

<file path=xl/ctrlProps/ctrlProp136.xml><?xml version="1.0" encoding="utf-8"?>
<formControlPr xmlns="http://schemas.microsoft.com/office/spreadsheetml/2009/9/main" objectType="CheckBox" fmlaLink="$Y$128" lockText="1" noThreeD="1"/>
</file>

<file path=xl/ctrlProps/ctrlProp137.xml><?xml version="1.0" encoding="utf-8"?>
<formControlPr xmlns="http://schemas.microsoft.com/office/spreadsheetml/2009/9/main" objectType="CheckBox" fmlaLink="$Y$129" lockText="1" noThreeD="1"/>
</file>

<file path=xl/ctrlProps/ctrlProp138.xml><?xml version="1.0" encoding="utf-8"?>
<formControlPr xmlns="http://schemas.microsoft.com/office/spreadsheetml/2009/9/main" objectType="CheckBox" fmlaLink="$Y$130" lockText="1" noThreeD="1"/>
</file>

<file path=xl/ctrlProps/ctrlProp139.xml><?xml version="1.0" encoding="utf-8"?>
<formControlPr xmlns="http://schemas.microsoft.com/office/spreadsheetml/2009/9/main" objectType="CheckBox" fmlaLink="$Y$131" lockText="1" noThreeD="1"/>
</file>

<file path=xl/ctrlProps/ctrlProp140.xml><?xml version="1.0" encoding="utf-8"?>
<formControlPr xmlns="http://schemas.microsoft.com/office/spreadsheetml/2009/9/main" objectType="CheckBox" fmlaLink="$Y$132" lockText="1" noThreeD="1"/>
</file>

<file path=xl/ctrlProps/ctrlProp141.xml><?xml version="1.0" encoding="utf-8"?>
<formControlPr xmlns="http://schemas.microsoft.com/office/spreadsheetml/2009/9/main" objectType="CheckBox" fmlaLink="$Y$133" lockText="1" noThreeD="1"/>
</file>

<file path=xl/ctrlProps/ctrlProp142.xml><?xml version="1.0" encoding="utf-8"?>
<formControlPr xmlns="http://schemas.microsoft.com/office/spreadsheetml/2009/9/main" objectType="CheckBox" fmlaLink="$Y$134" lockText="1" noThreeD="1"/>
</file>

<file path=xl/ctrlProps/ctrlProp143.xml><?xml version="1.0" encoding="utf-8"?>
<formControlPr xmlns="http://schemas.microsoft.com/office/spreadsheetml/2009/9/main" objectType="CheckBox" fmlaLink="$Y$135" lockText="1" noThreeD="1"/>
</file>

<file path=xl/ctrlProps/ctrlProp144.xml><?xml version="1.0" encoding="utf-8"?>
<formControlPr xmlns="http://schemas.microsoft.com/office/spreadsheetml/2009/9/main" objectType="CheckBox" fmlaLink="$Y$136" lockText="1" noThreeD="1"/>
</file>

<file path=xl/ctrlProps/ctrlProp145.xml><?xml version="1.0" encoding="utf-8"?>
<formControlPr xmlns="http://schemas.microsoft.com/office/spreadsheetml/2009/9/main" objectType="CheckBox" fmlaLink="$Y$137" lockText="1" noThreeD="1"/>
</file>

<file path=xl/ctrlProps/ctrlProp146.xml><?xml version="1.0" encoding="utf-8"?>
<formControlPr xmlns="http://schemas.microsoft.com/office/spreadsheetml/2009/9/main" objectType="CheckBox" fmlaLink="$Y$138" lockText="1" noThreeD="1"/>
</file>

<file path=xl/ctrlProps/ctrlProp147.xml><?xml version="1.0" encoding="utf-8"?>
<formControlPr xmlns="http://schemas.microsoft.com/office/spreadsheetml/2009/9/main" objectType="CheckBox" fmlaLink="$Y$139" lockText="1" noThreeD="1"/>
</file>

<file path=xl/ctrlProps/ctrlProp148.xml><?xml version="1.0" encoding="utf-8"?>
<formControlPr xmlns="http://schemas.microsoft.com/office/spreadsheetml/2009/9/main" objectType="CheckBox" fmlaLink="$Y$140" lockText="1" noThreeD="1"/>
</file>

<file path=xl/ctrlProps/ctrlProp149.xml><?xml version="1.0" encoding="utf-8"?>
<formControlPr xmlns="http://schemas.microsoft.com/office/spreadsheetml/2009/9/main" objectType="CheckBox" fmlaLink="$Y$141" lockText="1" noThreeD="1"/>
</file>

<file path=xl/ctrlProps/ctrlProp150.xml><?xml version="1.0" encoding="utf-8"?>
<formControlPr xmlns="http://schemas.microsoft.com/office/spreadsheetml/2009/9/main" objectType="CheckBox" fmlaLink="$Y$142" lockText="1" noThreeD="1"/>
</file>

<file path=xl/ctrlProps/ctrlProp151.xml><?xml version="1.0" encoding="utf-8"?>
<formControlPr xmlns="http://schemas.microsoft.com/office/spreadsheetml/2009/9/main" objectType="CheckBox" fmlaLink="$Y$143" lockText="1" noThreeD="1"/>
</file>

<file path=xl/ctrlProps/ctrlProp152.xml><?xml version="1.0" encoding="utf-8"?>
<formControlPr xmlns="http://schemas.microsoft.com/office/spreadsheetml/2009/9/main" objectType="CheckBox" fmlaLink="$Y$144" lockText="1" noThreeD="1"/>
</file>

<file path=xl/ctrlProps/ctrlProp153.xml><?xml version="1.0" encoding="utf-8"?>
<formControlPr xmlns="http://schemas.microsoft.com/office/spreadsheetml/2009/9/main" objectType="CheckBox" fmlaLink="$Y$145" lockText="1" noThreeD="1"/>
</file>

<file path=xl/ctrlProps/ctrlProp154.xml><?xml version="1.0" encoding="utf-8"?>
<formControlPr xmlns="http://schemas.microsoft.com/office/spreadsheetml/2009/9/main" objectType="CheckBox" fmlaLink="$Y$146" lockText="1" noThreeD="1"/>
</file>

<file path=xl/ctrlProps/ctrlProp155.xml><?xml version="1.0" encoding="utf-8"?>
<formControlPr xmlns="http://schemas.microsoft.com/office/spreadsheetml/2009/9/main" objectType="CheckBox" fmlaLink="$Y$147" lockText="1" noThreeD="1"/>
</file>

<file path=xl/ctrlProps/ctrlProp156.xml><?xml version="1.0" encoding="utf-8"?>
<formControlPr xmlns="http://schemas.microsoft.com/office/spreadsheetml/2009/9/main" objectType="CheckBox" fmlaLink="$Y$148" lockText="1" noThreeD="1"/>
</file>

<file path=xl/ctrlProps/ctrlProp157.xml><?xml version="1.0" encoding="utf-8"?>
<formControlPr xmlns="http://schemas.microsoft.com/office/spreadsheetml/2009/9/main" objectType="CheckBox" fmlaLink="$Y$149" lockText="1" noThreeD="1"/>
</file>

<file path=xl/ctrlProps/ctrlProp158.xml><?xml version="1.0" encoding="utf-8"?>
<formControlPr xmlns="http://schemas.microsoft.com/office/spreadsheetml/2009/9/main" objectType="CheckBox" fmlaLink="$Y$150" lockText="1" noThreeD="1"/>
</file>

<file path=xl/ctrlProps/ctrlProp159.xml><?xml version="1.0" encoding="utf-8"?>
<formControlPr xmlns="http://schemas.microsoft.com/office/spreadsheetml/2009/9/main" objectType="CheckBox" fmlaLink="$Y$151" lockText="1" noThreeD="1"/>
</file>

<file path=xl/ctrlProps/ctrlProp160.xml><?xml version="1.0" encoding="utf-8"?>
<formControlPr xmlns="http://schemas.microsoft.com/office/spreadsheetml/2009/9/main" objectType="CheckBox" fmlaLink="$Y$152" lockText="1" noThreeD="1"/>
</file>

<file path=xl/ctrlProps/ctrlProp161.xml><?xml version="1.0" encoding="utf-8"?>
<formControlPr xmlns="http://schemas.microsoft.com/office/spreadsheetml/2009/9/main" objectType="CheckBox" fmlaLink="$Y$153" lockText="1" noThreeD="1"/>
</file>

<file path=xl/ctrlProps/ctrlProp162.xml><?xml version="1.0" encoding="utf-8"?>
<formControlPr xmlns="http://schemas.microsoft.com/office/spreadsheetml/2009/9/main" objectType="CheckBox" fmlaLink="$Y$154" lockText="1" noThreeD="1"/>
</file>

<file path=xl/ctrlProps/ctrlProp163.xml><?xml version="1.0" encoding="utf-8"?>
<formControlPr xmlns="http://schemas.microsoft.com/office/spreadsheetml/2009/9/main" objectType="CheckBox" fmlaLink="$Y$155" lockText="1" noThreeD="1"/>
</file>

<file path=xl/ctrlProps/ctrlProp164.xml><?xml version="1.0" encoding="utf-8"?>
<formControlPr xmlns="http://schemas.microsoft.com/office/spreadsheetml/2009/9/main" objectType="CheckBox" fmlaLink="$Y$156" lockText="1" noThreeD="1"/>
</file>

<file path=xl/ctrlProps/ctrlProp165.xml><?xml version="1.0" encoding="utf-8"?>
<formControlPr xmlns="http://schemas.microsoft.com/office/spreadsheetml/2009/9/main" objectType="CheckBox" fmlaLink="$Y$157" lockText="1" noThreeD="1"/>
</file>

<file path=xl/ctrlProps/ctrlProp166.xml><?xml version="1.0" encoding="utf-8"?>
<formControlPr xmlns="http://schemas.microsoft.com/office/spreadsheetml/2009/9/main" objectType="CheckBox" fmlaLink="$Y$158" lockText="1" noThreeD="1"/>
</file>

<file path=xl/ctrlProps/ctrlProp167.xml><?xml version="1.0" encoding="utf-8"?>
<formControlPr xmlns="http://schemas.microsoft.com/office/spreadsheetml/2009/9/main" objectType="CheckBox" fmlaLink="$Y$159" lockText="1" noThreeD="1"/>
</file>

<file path=xl/ctrlProps/ctrlProp168.xml><?xml version="1.0" encoding="utf-8"?>
<formControlPr xmlns="http://schemas.microsoft.com/office/spreadsheetml/2009/9/main" objectType="CheckBox" fmlaLink="$Y$160" lockText="1" noThreeD="1"/>
</file>

<file path=xl/ctrlProps/ctrlProp169.xml><?xml version="1.0" encoding="utf-8"?>
<formControlPr xmlns="http://schemas.microsoft.com/office/spreadsheetml/2009/9/main" objectType="CheckBox" fmlaLink="$Y$161" lockText="1" noThreeD="1"/>
</file>

<file path=xl/ctrlProps/ctrlProp170.xml><?xml version="1.0" encoding="utf-8"?>
<formControlPr xmlns="http://schemas.microsoft.com/office/spreadsheetml/2009/9/main" objectType="CheckBox" fmlaLink="$Y$162" lockText="1" noThreeD="1"/>
</file>

<file path=xl/ctrlProps/ctrlProp171.xml><?xml version="1.0" encoding="utf-8"?>
<formControlPr xmlns="http://schemas.microsoft.com/office/spreadsheetml/2009/9/main" objectType="CheckBox" fmlaLink="$Y$163" lockText="1" noThreeD="1"/>
</file>

<file path=xl/ctrlProps/ctrlProp172.xml><?xml version="1.0" encoding="utf-8"?>
<formControlPr xmlns="http://schemas.microsoft.com/office/spreadsheetml/2009/9/main" objectType="CheckBox" fmlaLink="$Y$164" lockText="1" noThreeD="1"/>
</file>

<file path=xl/ctrlProps/ctrlProp173.xml><?xml version="1.0" encoding="utf-8"?>
<formControlPr xmlns="http://schemas.microsoft.com/office/spreadsheetml/2009/9/main" objectType="CheckBox" fmlaLink="$Y$165" lockText="1" noThreeD="1"/>
</file>

<file path=xl/ctrlProps/ctrlProp174.xml><?xml version="1.0" encoding="utf-8"?>
<formControlPr xmlns="http://schemas.microsoft.com/office/spreadsheetml/2009/9/main" objectType="CheckBox" fmlaLink="$Y$166" lockText="1" noThreeD="1"/>
</file>

<file path=xl/ctrlProps/ctrlProp175.xml><?xml version="1.0" encoding="utf-8"?>
<formControlPr xmlns="http://schemas.microsoft.com/office/spreadsheetml/2009/9/main" objectType="CheckBox" fmlaLink="$Y$167" lockText="1" noThreeD="1"/>
</file>

<file path=xl/ctrlProps/ctrlProp176.xml><?xml version="1.0" encoding="utf-8"?>
<formControlPr xmlns="http://schemas.microsoft.com/office/spreadsheetml/2009/9/main" objectType="CheckBox" fmlaLink="$Y$168" lockText="1" noThreeD="1"/>
</file>

<file path=xl/ctrlProps/ctrlProp177.xml><?xml version="1.0" encoding="utf-8"?>
<formControlPr xmlns="http://schemas.microsoft.com/office/spreadsheetml/2009/9/main" objectType="CheckBox" fmlaLink="$Y$169" lockText="1" noThreeD="1"/>
</file>

<file path=xl/ctrlProps/ctrlProp178.xml><?xml version="1.0" encoding="utf-8"?>
<formControlPr xmlns="http://schemas.microsoft.com/office/spreadsheetml/2009/9/main" objectType="CheckBox" fmlaLink="$Y$170" lockText="1" noThreeD="1"/>
</file>

<file path=xl/ctrlProps/ctrlProp179.xml><?xml version="1.0" encoding="utf-8"?>
<formControlPr xmlns="http://schemas.microsoft.com/office/spreadsheetml/2009/9/main" objectType="CheckBox" fmlaLink="$Y$171" lockText="1" noThreeD="1"/>
</file>

<file path=xl/ctrlProps/ctrlProp180.xml><?xml version="1.0" encoding="utf-8"?>
<formControlPr xmlns="http://schemas.microsoft.com/office/spreadsheetml/2009/9/main" objectType="CheckBox" fmlaLink="$Y$172" lockText="1" noThreeD="1"/>
</file>

<file path=xl/ctrlProps/ctrlProp181.xml><?xml version="1.0" encoding="utf-8"?>
<formControlPr xmlns="http://schemas.microsoft.com/office/spreadsheetml/2009/9/main" objectType="CheckBox" fmlaLink="$Y$173" lockText="1" noThreeD="1"/>
</file>

<file path=xl/ctrlProps/ctrlProp182.xml><?xml version="1.0" encoding="utf-8"?>
<formControlPr xmlns="http://schemas.microsoft.com/office/spreadsheetml/2009/9/main" objectType="CheckBox" fmlaLink="$Y$174" lockText="1" noThreeD="1"/>
</file>

<file path=xl/ctrlProps/ctrlProp183.xml><?xml version="1.0" encoding="utf-8"?>
<formControlPr xmlns="http://schemas.microsoft.com/office/spreadsheetml/2009/9/main" objectType="CheckBox" fmlaLink="$Y$175" lockText="1" noThreeD="1"/>
</file>

<file path=xl/ctrlProps/ctrlProp184.xml><?xml version="1.0" encoding="utf-8"?>
<formControlPr xmlns="http://schemas.microsoft.com/office/spreadsheetml/2009/9/main" objectType="CheckBox" fmlaLink="$Y$176" lockText="1" noThreeD="1"/>
</file>

<file path=xl/ctrlProps/ctrlProp185.xml><?xml version="1.0" encoding="utf-8"?>
<formControlPr xmlns="http://schemas.microsoft.com/office/spreadsheetml/2009/9/main" objectType="CheckBox" fmlaLink="$Y$177" lockText="1" noThreeD="1"/>
</file>

<file path=xl/ctrlProps/ctrlProp186.xml><?xml version="1.0" encoding="utf-8"?>
<formControlPr xmlns="http://schemas.microsoft.com/office/spreadsheetml/2009/9/main" objectType="CheckBox" fmlaLink="$Y$178" lockText="1" noThreeD="1"/>
</file>

<file path=xl/ctrlProps/ctrlProp187.xml><?xml version="1.0" encoding="utf-8"?>
<formControlPr xmlns="http://schemas.microsoft.com/office/spreadsheetml/2009/9/main" objectType="CheckBox" fmlaLink="$Y$179" lockText="1" noThreeD="1"/>
</file>

<file path=xl/ctrlProps/ctrlProp188.xml><?xml version="1.0" encoding="utf-8"?>
<formControlPr xmlns="http://schemas.microsoft.com/office/spreadsheetml/2009/9/main" objectType="CheckBox" fmlaLink="$Y$180" lockText="1" noThreeD="1"/>
</file>

<file path=xl/ctrlProps/ctrlProp189.xml><?xml version="1.0" encoding="utf-8"?>
<formControlPr xmlns="http://schemas.microsoft.com/office/spreadsheetml/2009/9/main" objectType="CheckBox" fmlaLink="$Y$181" lockText="1" noThreeD="1"/>
</file>

<file path=xl/ctrlProps/ctrlProp190.xml><?xml version="1.0" encoding="utf-8"?>
<formControlPr xmlns="http://schemas.microsoft.com/office/spreadsheetml/2009/9/main" objectType="CheckBox" fmlaLink="$Y$182" lockText="1" noThreeD="1"/>
</file>

<file path=xl/ctrlProps/ctrlProp191.xml><?xml version="1.0" encoding="utf-8"?>
<formControlPr xmlns="http://schemas.microsoft.com/office/spreadsheetml/2009/9/main" objectType="CheckBox" fmlaLink="$Y$183" lockText="1" noThreeD="1"/>
</file>

<file path=xl/ctrlProps/ctrlProp192.xml><?xml version="1.0" encoding="utf-8"?>
<formControlPr xmlns="http://schemas.microsoft.com/office/spreadsheetml/2009/9/main" objectType="CheckBox" fmlaLink="$Y$184" lockText="1" noThreeD="1"/>
</file>

<file path=xl/ctrlProps/ctrlProp193.xml><?xml version="1.0" encoding="utf-8"?>
<formControlPr xmlns="http://schemas.microsoft.com/office/spreadsheetml/2009/9/main" objectType="CheckBox" fmlaLink="$Y$185" lockText="1" noThreeD="1"/>
</file>

<file path=xl/ctrlProps/ctrlProp194.xml><?xml version="1.0" encoding="utf-8"?>
<formControlPr xmlns="http://schemas.microsoft.com/office/spreadsheetml/2009/9/main" objectType="CheckBox" fmlaLink="$Y$186" lockText="1" noThreeD="1"/>
</file>

<file path=xl/ctrlProps/ctrlProp195.xml><?xml version="1.0" encoding="utf-8"?>
<formControlPr xmlns="http://schemas.microsoft.com/office/spreadsheetml/2009/9/main" objectType="CheckBox" fmlaLink="$Y$187" lockText="1" noThreeD="1"/>
</file>

<file path=xl/ctrlProps/ctrlProp196.xml><?xml version="1.0" encoding="utf-8"?>
<formControlPr xmlns="http://schemas.microsoft.com/office/spreadsheetml/2009/9/main" objectType="CheckBox" fmlaLink="$Y$188" lockText="1" noThreeD="1"/>
</file>

<file path=xl/ctrlProps/ctrlProp197.xml><?xml version="1.0" encoding="utf-8"?>
<formControlPr xmlns="http://schemas.microsoft.com/office/spreadsheetml/2009/9/main" objectType="CheckBox" fmlaLink="$Y$189" lockText="1" noThreeD="1"/>
</file>

<file path=xl/ctrlProps/ctrlProp198.xml><?xml version="1.0" encoding="utf-8"?>
<formControlPr xmlns="http://schemas.microsoft.com/office/spreadsheetml/2009/9/main" objectType="CheckBox" fmlaLink="$Y$190" lockText="1" noThreeD="1"/>
</file>

<file path=xl/ctrlProps/ctrlProp199.xml><?xml version="1.0" encoding="utf-8"?>
<formControlPr xmlns="http://schemas.microsoft.com/office/spreadsheetml/2009/9/main" objectType="CheckBox" fmlaLink="$Y$191" lockText="1" noThreeD="1"/>
</file>

<file path=xl/ctrlProps/ctrlProp200.xml><?xml version="1.0" encoding="utf-8"?>
<formControlPr xmlns="http://schemas.microsoft.com/office/spreadsheetml/2009/9/main" objectType="CheckBox" fmlaLink="$Y$192" lockText="1" noThreeD="1"/>
</file>

<file path=xl/ctrlProps/ctrlProp201.xml><?xml version="1.0" encoding="utf-8"?>
<formControlPr xmlns="http://schemas.microsoft.com/office/spreadsheetml/2009/9/main" objectType="CheckBox" fmlaLink="$Y$193" lockText="1" noThreeD="1"/>
</file>

<file path=xl/ctrlProps/ctrlProp202.xml><?xml version="1.0" encoding="utf-8"?>
<formControlPr xmlns="http://schemas.microsoft.com/office/spreadsheetml/2009/9/main" objectType="CheckBox" fmlaLink="$Y$194" lockText="1" noThreeD="1"/>
</file>

<file path=xl/ctrlProps/ctrlProp203.xml><?xml version="1.0" encoding="utf-8"?>
<formControlPr xmlns="http://schemas.microsoft.com/office/spreadsheetml/2009/9/main" objectType="CheckBox" fmlaLink="$Y$195" lockText="1" noThreeD="1"/>
</file>

<file path=xl/ctrlProps/ctrlProp204.xml><?xml version="1.0" encoding="utf-8"?>
<formControlPr xmlns="http://schemas.microsoft.com/office/spreadsheetml/2009/9/main" objectType="CheckBox" fmlaLink="$Y$196" lockText="1" noThreeD="1"/>
</file>

<file path=xl/ctrlProps/ctrlProp205.xml><?xml version="1.0" encoding="utf-8"?>
<formControlPr xmlns="http://schemas.microsoft.com/office/spreadsheetml/2009/9/main" objectType="CheckBox" fmlaLink="$Y$197" lockText="1" noThreeD="1"/>
</file>

<file path=xl/ctrlProps/ctrlProp206.xml><?xml version="1.0" encoding="utf-8"?>
<formControlPr xmlns="http://schemas.microsoft.com/office/spreadsheetml/2009/9/main" objectType="CheckBox" fmlaLink="$Y$198" lockText="1" noThreeD="1"/>
</file>

<file path=xl/ctrlProps/ctrlProp207.xml><?xml version="1.0" encoding="utf-8"?>
<formControlPr xmlns="http://schemas.microsoft.com/office/spreadsheetml/2009/9/main" objectType="CheckBox" fmlaLink="$Y$199" lockText="1" noThreeD="1"/>
</file>

<file path=xl/ctrlProps/ctrlProp208.xml><?xml version="1.0" encoding="utf-8"?>
<formControlPr xmlns="http://schemas.microsoft.com/office/spreadsheetml/2009/9/main" objectType="CheckBox" fmlaLink="$Y$25" lockText="1" noThreeD="1"/>
</file>

<file path=xl/ctrlProps/ctrlProp209.xml><?xml version="1.0" encoding="utf-8"?>
<formControlPr xmlns="http://schemas.microsoft.com/office/spreadsheetml/2009/9/main" objectType="CheckBox" fmlaLink="$Y$77" lockText="1" noThreeD="1"/>
</file>

<file path=xl/ctrlProps/ctrlProp210.xml><?xml version="1.0" encoding="utf-8"?>
<formControlPr xmlns="http://schemas.microsoft.com/office/spreadsheetml/2009/9/main" objectType="CheckBox" fmlaLink="$Y$78" lockText="1" noThreeD="1"/>
</file>

<file path=xl/ctrlProps/ctrlProp211.xml><?xml version="1.0" encoding="utf-8"?>
<formControlPr xmlns="http://schemas.microsoft.com/office/spreadsheetml/2009/9/main" objectType="CheckBox" fmlaLink="$Y$79" lockText="1" noThreeD="1"/>
</file>

<file path=xl/ctrlProps/ctrlProp212.xml><?xml version="1.0" encoding="utf-8"?>
<formControlPr xmlns="http://schemas.microsoft.com/office/spreadsheetml/2009/9/main" objectType="CheckBox" fmlaLink="$Y$80" lockText="1" noThreeD="1"/>
</file>

<file path=xl/ctrlProps/ctrlProp213.xml><?xml version="1.0" encoding="utf-8"?>
<formControlPr xmlns="http://schemas.microsoft.com/office/spreadsheetml/2009/9/main" objectType="CheckBox" fmlaLink="$Y$81" lockText="1" noThreeD="1"/>
</file>

<file path=xl/ctrlProps/ctrlProp214.xml><?xml version="1.0" encoding="utf-8"?>
<formControlPr xmlns="http://schemas.microsoft.com/office/spreadsheetml/2009/9/main" objectType="CheckBox" fmlaLink="$Y$82" lockText="1" noThreeD="1"/>
</file>

<file path=xl/ctrlProps/ctrlProp215.xml><?xml version="1.0" encoding="utf-8"?>
<formControlPr xmlns="http://schemas.microsoft.com/office/spreadsheetml/2009/9/main" objectType="CheckBox" fmlaLink="$Y$83" lockText="1" noThreeD="1"/>
</file>

<file path=xl/ctrlProps/ctrlProp216.xml><?xml version="1.0" encoding="utf-8"?>
<formControlPr xmlns="http://schemas.microsoft.com/office/spreadsheetml/2009/9/main" objectType="CheckBox" fmlaLink="$Y$84" lockText="1" noThreeD="1"/>
</file>

<file path=xl/ctrlProps/ctrlProp217.xml><?xml version="1.0" encoding="utf-8"?>
<formControlPr xmlns="http://schemas.microsoft.com/office/spreadsheetml/2009/9/main" objectType="CheckBox" fmlaLink="$Y$85" lockText="1" noThreeD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CheckBox" fmlaLink="$Y$7" lockText="1" noThreeD="1"/>
</file>

<file path=xl/ctrlProps/ctrlProp220.xml><?xml version="1.0" encoding="utf-8"?>
<formControlPr xmlns="http://schemas.microsoft.com/office/spreadsheetml/2009/9/main" objectType="CheckBox" fmlaLink="$Y$8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</xdr:row>
          <xdr:rowOff>0</xdr:rowOff>
        </xdr:from>
        <xdr:to>
          <xdr:col>18</xdr:col>
          <xdr:colOff>390525</xdr:colOff>
          <xdr:row>2</xdr:row>
          <xdr:rowOff>19050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0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</xdr:row>
          <xdr:rowOff>0</xdr:rowOff>
        </xdr:from>
        <xdr:to>
          <xdr:col>18</xdr:col>
          <xdr:colOff>390525</xdr:colOff>
          <xdr:row>3</xdr:row>
          <xdr:rowOff>19050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0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</xdr:row>
          <xdr:rowOff>0</xdr:rowOff>
        </xdr:from>
        <xdr:to>
          <xdr:col>18</xdr:col>
          <xdr:colOff>390525</xdr:colOff>
          <xdr:row>4</xdr:row>
          <xdr:rowOff>19050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0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</xdr:row>
          <xdr:rowOff>0</xdr:rowOff>
        </xdr:from>
        <xdr:to>
          <xdr:col>18</xdr:col>
          <xdr:colOff>390525</xdr:colOff>
          <xdr:row>5</xdr:row>
          <xdr:rowOff>19050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0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5</xdr:row>
          <xdr:rowOff>0</xdr:rowOff>
        </xdr:from>
        <xdr:to>
          <xdr:col>18</xdr:col>
          <xdr:colOff>390525</xdr:colOff>
          <xdr:row>6</xdr:row>
          <xdr:rowOff>19050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0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</xdr:row>
          <xdr:rowOff>0</xdr:rowOff>
        </xdr:from>
        <xdr:to>
          <xdr:col>18</xdr:col>
          <xdr:colOff>390525</xdr:colOff>
          <xdr:row>7</xdr:row>
          <xdr:rowOff>19050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0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</xdr:row>
          <xdr:rowOff>0</xdr:rowOff>
        </xdr:from>
        <xdr:to>
          <xdr:col>18</xdr:col>
          <xdr:colOff>390525</xdr:colOff>
          <xdr:row>7</xdr:row>
          <xdr:rowOff>19050</xdr:rowOff>
        </xdr:to>
        <xdr:sp macro="" textlink="">
          <xdr:nvSpPr>
            <xdr:cNvPr id="32775" name="Check Box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0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</xdr:row>
          <xdr:rowOff>0</xdr:rowOff>
        </xdr:from>
        <xdr:to>
          <xdr:col>18</xdr:col>
          <xdr:colOff>390525</xdr:colOff>
          <xdr:row>7</xdr:row>
          <xdr:rowOff>19050</xdr:rowOff>
        </xdr:to>
        <xdr:sp macro="" textlink="">
          <xdr:nvSpPr>
            <xdr:cNvPr id="32776" name="Check Box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0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</xdr:row>
          <xdr:rowOff>0</xdr:rowOff>
        </xdr:from>
        <xdr:to>
          <xdr:col>18</xdr:col>
          <xdr:colOff>390525</xdr:colOff>
          <xdr:row>7</xdr:row>
          <xdr:rowOff>19050</xdr:rowOff>
        </xdr:to>
        <xdr:sp macro="" textlink="">
          <xdr:nvSpPr>
            <xdr:cNvPr id="32777" name="Check Box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0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</xdr:row>
          <xdr:rowOff>0</xdr:rowOff>
        </xdr:from>
        <xdr:to>
          <xdr:col>18</xdr:col>
          <xdr:colOff>390525</xdr:colOff>
          <xdr:row>7</xdr:row>
          <xdr:rowOff>19050</xdr:rowOff>
        </xdr:to>
        <xdr:sp macro="" textlink="">
          <xdr:nvSpPr>
            <xdr:cNvPr id="32778" name="Check Box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0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</xdr:row>
          <xdr:rowOff>0</xdr:rowOff>
        </xdr:from>
        <xdr:to>
          <xdr:col>18</xdr:col>
          <xdr:colOff>390525</xdr:colOff>
          <xdr:row>7</xdr:row>
          <xdr:rowOff>19050</xdr:rowOff>
        </xdr:to>
        <xdr:sp macro="" textlink="">
          <xdr:nvSpPr>
            <xdr:cNvPr id="32779" name="Check Box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0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</xdr:row>
          <xdr:rowOff>0</xdr:rowOff>
        </xdr:from>
        <xdr:to>
          <xdr:col>18</xdr:col>
          <xdr:colOff>390525</xdr:colOff>
          <xdr:row>7</xdr:row>
          <xdr:rowOff>19050</xdr:rowOff>
        </xdr:to>
        <xdr:sp macro="" textlink="">
          <xdr:nvSpPr>
            <xdr:cNvPr id="32780" name="Check Box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0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</xdr:row>
          <xdr:rowOff>0</xdr:rowOff>
        </xdr:from>
        <xdr:to>
          <xdr:col>18</xdr:col>
          <xdr:colOff>390525</xdr:colOff>
          <xdr:row>7</xdr:row>
          <xdr:rowOff>19050</xdr:rowOff>
        </xdr:to>
        <xdr:sp macro="" textlink="">
          <xdr:nvSpPr>
            <xdr:cNvPr id="32781" name="Check Box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0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</xdr:row>
          <xdr:rowOff>0</xdr:rowOff>
        </xdr:from>
        <xdr:to>
          <xdr:col>18</xdr:col>
          <xdr:colOff>390525</xdr:colOff>
          <xdr:row>7</xdr:row>
          <xdr:rowOff>19050</xdr:rowOff>
        </xdr:to>
        <xdr:sp macro="" textlink="">
          <xdr:nvSpPr>
            <xdr:cNvPr id="32782" name="Check Box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0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</xdr:row>
          <xdr:rowOff>0</xdr:rowOff>
        </xdr:from>
        <xdr:to>
          <xdr:col>18</xdr:col>
          <xdr:colOff>390525</xdr:colOff>
          <xdr:row>7</xdr:row>
          <xdr:rowOff>19050</xdr:rowOff>
        </xdr:to>
        <xdr:sp macro="" textlink="">
          <xdr:nvSpPr>
            <xdr:cNvPr id="32783" name="Check Box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0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</xdr:row>
          <xdr:rowOff>0</xdr:rowOff>
        </xdr:from>
        <xdr:to>
          <xdr:col>18</xdr:col>
          <xdr:colOff>390525</xdr:colOff>
          <xdr:row>7</xdr:row>
          <xdr:rowOff>19050</xdr:rowOff>
        </xdr:to>
        <xdr:sp macro="" textlink="">
          <xdr:nvSpPr>
            <xdr:cNvPr id="32784" name="Check Box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0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</xdr:row>
          <xdr:rowOff>0</xdr:rowOff>
        </xdr:from>
        <xdr:to>
          <xdr:col>18</xdr:col>
          <xdr:colOff>390525</xdr:colOff>
          <xdr:row>7</xdr:row>
          <xdr:rowOff>19050</xdr:rowOff>
        </xdr:to>
        <xdr:sp macro="" textlink="">
          <xdr:nvSpPr>
            <xdr:cNvPr id="32785" name="Check Box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0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</xdr:row>
          <xdr:rowOff>0</xdr:rowOff>
        </xdr:from>
        <xdr:to>
          <xdr:col>18</xdr:col>
          <xdr:colOff>390525</xdr:colOff>
          <xdr:row>7</xdr:row>
          <xdr:rowOff>19050</xdr:rowOff>
        </xdr:to>
        <xdr:sp macro="" textlink="">
          <xdr:nvSpPr>
            <xdr:cNvPr id="32786" name="Check Box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0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29</xdr:row>
          <xdr:rowOff>0</xdr:rowOff>
        </xdr:from>
        <xdr:to>
          <xdr:col>18</xdr:col>
          <xdr:colOff>390525</xdr:colOff>
          <xdr:row>30</xdr:row>
          <xdr:rowOff>19050</xdr:rowOff>
        </xdr:to>
        <xdr:sp macro="" textlink="">
          <xdr:nvSpPr>
            <xdr:cNvPr id="32787" name="Check Box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0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29</xdr:row>
          <xdr:rowOff>0</xdr:rowOff>
        </xdr:from>
        <xdr:to>
          <xdr:col>18</xdr:col>
          <xdr:colOff>390525</xdr:colOff>
          <xdr:row>30</xdr:row>
          <xdr:rowOff>19050</xdr:rowOff>
        </xdr:to>
        <xdr:sp macro="" textlink="">
          <xdr:nvSpPr>
            <xdr:cNvPr id="32788" name="Check Box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0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30</xdr:row>
          <xdr:rowOff>0</xdr:rowOff>
        </xdr:from>
        <xdr:to>
          <xdr:col>18</xdr:col>
          <xdr:colOff>390525</xdr:colOff>
          <xdr:row>31</xdr:row>
          <xdr:rowOff>19050</xdr:rowOff>
        </xdr:to>
        <xdr:sp macro="" textlink="">
          <xdr:nvSpPr>
            <xdr:cNvPr id="32789" name="Check Box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0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31</xdr:row>
          <xdr:rowOff>0</xdr:rowOff>
        </xdr:from>
        <xdr:to>
          <xdr:col>18</xdr:col>
          <xdr:colOff>390525</xdr:colOff>
          <xdr:row>32</xdr:row>
          <xdr:rowOff>19050</xdr:rowOff>
        </xdr:to>
        <xdr:sp macro="" textlink="">
          <xdr:nvSpPr>
            <xdr:cNvPr id="32790" name="Check Box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0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32</xdr:row>
          <xdr:rowOff>0</xdr:rowOff>
        </xdr:from>
        <xdr:to>
          <xdr:col>18</xdr:col>
          <xdr:colOff>390525</xdr:colOff>
          <xdr:row>33</xdr:row>
          <xdr:rowOff>19050</xdr:rowOff>
        </xdr:to>
        <xdr:sp macro="" textlink="">
          <xdr:nvSpPr>
            <xdr:cNvPr id="32791" name="Check Box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0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33</xdr:row>
          <xdr:rowOff>0</xdr:rowOff>
        </xdr:from>
        <xdr:to>
          <xdr:col>18</xdr:col>
          <xdr:colOff>390525</xdr:colOff>
          <xdr:row>34</xdr:row>
          <xdr:rowOff>19050</xdr:rowOff>
        </xdr:to>
        <xdr:sp macro="" textlink="">
          <xdr:nvSpPr>
            <xdr:cNvPr id="32792" name="Check Box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0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34</xdr:row>
          <xdr:rowOff>0</xdr:rowOff>
        </xdr:from>
        <xdr:to>
          <xdr:col>18</xdr:col>
          <xdr:colOff>390525</xdr:colOff>
          <xdr:row>35</xdr:row>
          <xdr:rowOff>19050</xdr:rowOff>
        </xdr:to>
        <xdr:sp macro="" textlink="">
          <xdr:nvSpPr>
            <xdr:cNvPr id="32793" name="Check Box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0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35</xdr:row>
          <xdr:rowOff>0</xdr:rowOff>
        </xdr:from>
        <xdr:to>
          <xdr:col>18</xdr:col>
          <xdr:colOff>390525</xdr:colOff>
          <xdr:row>36</xdr:row>
          <xdr:rowOff>19050</xdr:rowOff>
        </xdr:to>
        <xdr:sp macro="" textlink="">
          <xdr:nvSpPr>
            <xdr:cNvPr id="32794" name="Check Box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0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36</xdr:row>
          <xdr:rowOff>0</xdr:rowOff>
        </xdr:from>
        <xdr:to>
          <xdr:col>18</xdr:col>
          <xdr:colOff>390525</xdr:colOff>
          <xdr:row>37</xdr:row>
          <xdr:rowOff>19050</xdr:rowOff>
        </xdr:to>
        <xdr:sp macro="" textlink="">
          <xdr:nvSpPr>
            <xdr:cNvPr id="32795" name="Check Box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0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36</xdr:row>
          <xdr:rowOff>0</xdr:rowOff>
        </xdr:from>
        <xdr:to>
          <xdr:col>18</xdr:col>
          <xdr:colOff>390525</xdr:colOff>
          <xdr:row>37</xdr:row>
          <xdr:rowOff>19050</xdr:rowOff>
        </xdr:to>
        <xdr:sp macro="" textlink="">
          <xdr:nvSpPr>
            <xdr:cNvPr id="32796" name="Check Box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0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37</xdr:row>
          <xdr:rowOff>0</xdr:rowOff>
        </xdr:from>
        <xdr:to>
          <xdr:col>18</xdr:col>
          <xdr:colOff>390525</xdr:colOff>
          <xdr:row>38</xdr:row>
          <xdr:rowOff>19050</xdr:rowOff>
        </xdr:to>
        <xdr:sp macro="" textlink="">
          <xdr:nvSpPr>
            <xdr:cNvPr id="32797" name="Check Box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0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37</xdr:row>
          <xdr:rowOff>0</xdr:rowOff>
        </xdr:from>
        <xdr:to>
          <xdr:col>18</xdr:col>
          <xdr:colOff>390525</xdr:colOff>
          <xdr:row>38</xdr:row>
          <xdr:rowOff>19050</xdr:rowOff>
        </xdr:to>
        <xdr:sp macro="" textlink="">
          <xdr:nvSpPr>
            <xdr:cNvPr id="32798" name="Check Box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0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38</xdr:row>
          <xdr:rowOff>0</xdr:rowOff>
        </xdr:from>
        <xdr:to>
          <xdr:col>18</xdr:col>
          <xdr:colOff>390525</xdr:colOff>
          <xdr:row>39</xdr:row>
          <xdr:rowOff>19050</xdr:rowOff>
        </xdr:to>
        <xdr:sp macro="" textlink="">
          <xdr:nvSpPr>
            <xdr:cNvPr id="32799" name="Check Box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0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39</xdr:row>
          <xdr:rowOff>0</xdr:rowOff>
        </xdr:from>
        <xdr:to>
          <xdr:col>18</xdr:col>
          <xdr:colOff>390525</xdr:colOff>
          <xdr:row>40</xdr:row>
          <xdr:rowOff>19050</xdr:rowOff>
        </xdr:to>
        <xdr:sp macro="" textlink="">
          <xdr:nvSpPr>
            <xdr:cNvPr id="32800" name="Check Box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0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40</xdr:row>
          <xdr:rowOff>0</xdr:rowOff>
        </xdr:from>
        <xdr:to>
          <xdr:col>18</xdr:col>
          <xdr:colOff>390525</xdr:colOff>
          <xdr:row>41</xdr:row>
          <xdr:rowOff>19050</xdr:rowOff>
        </xdr:to>
        <xdr:sp macro="" textlink="">
          <xdr:nvSpPr>
            <xdr:cNvPr id="32801" name="Check Box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0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40</xdr:row>
          <xdr:rowOff>0</xdr:rowOff>
        </xdr:from>
        <xdr:to>
          <xdr:col>18</xdr:col>
          <xdr:colOff>390525</xdr:colOff>
          <xdr:row>41</xdr:row>
          <xdr:rowOff>19050</xdr:rowOff>
        </xdr:to>
        <xdr:sp macro="" textlink="">
          <xdr:nvSpPr>
            <xdr:cNvPr id="32802" name="Check Box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0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40</xdr:row>
          <xdr:rowOff>0</xdr:rowOff>
        </xdr:from>
        <xdr:to>
          <xdr:col>18</xdr:col>
          <xdr:colOff>390525</xdr:colOff>
          <xdr:row>41</xdr:row>
          <xdr:rowOff>19050</xdr:rowOff>
        </xdr:to>
        <xdr:sp macro="" textlink="">
          <xdr:nvSpPr>
            <xdr:cNvPr id="32803" name="Check Box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0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46</xdr:row>
          <xdr:rowOff>0</xdr:rowOff>
        </xdr:from>
        <xdr:to>
          <xdr:col>18</xdr:col>
          <xdr:colOff>390525</xdr:colOff>
          <xdr:row>47</xdr:row>
          <xdr:rowOff>19050</xdr:rowOff>
        </xdr:to>
        <xdr:sp macro="" textlink="">
          <xdr:nvSpPr>
            <xdr:cNvPr id="32804" name="Check Box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0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47</xdr:row>
          <xdr:rowOff>0</xdr:rowOff>
        </xdr:from>
        <xdr:to>
          <xdr:col>18</xdr:col>
          <xdr:colOff>390525</xdr:colOff>
          <xdr:row>48</xdr:row>
          <xdr:rowOff>19050</xdr:rowOff>
        </xdr:to>
        <xdr:sp macro="" textlink="">
          <xdr:nvSpPr>
            <xdr:cNvPr id="32805" name="Check Box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0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48</xdr:row>
          <xdr:rowOff>0</xdr:rowOff>
        </xdr:from>
        <xdr:to>
          <xdr:col>18</xdr:col>
          <xdr:colOff>390525</xdr:colOff>
          <xdr:row>49</xdr:row>
          <xdr:rowOff>19050</xdr:rowOff>
        </xdr:to>
        <xdr:sp macro="" textlink="">
          <xdr:nvSpPr>
            <xdr:cNvPr id="32806" name="Check Box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0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49</xdr:row>
          <xdr:rowOff>0</xdr:rowOff>
        </xdr:from>
        <xdr:to>
          <xdr:col>18</xdr:col>
          <xdr:colOff>390525</xdr:colOff>
          <xdr:row>50</xdr:row>
          <xdr:rowOff>19050</xdr:rowOff>
        </xdr:to>
        <xdr:sp macro="" textlink="">
          <xdr:nvSpPr>
            <xdr:cNvPr id="32807" name="Check Box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0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50</xdr:row>
          <xdr:rowOff>0</xdr:rowOff>
        </xdr:from>
        <xdr:to>
          <xdr:col>18</xdr:col>
          <xdr:colOff>390525</xdr:colOff>
          <xdr:row>51</xdr:row>
          <xdr:rowOff>19050</xdr:rowOff>
        </xdr:to>
        <xdr:sp macro="" textlink="">
          <xdr:nvSpPr>
            <xdr:cNvPr id="32808" name="Check Box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0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50</xdr:row>
          <xdr:rowOff>0</xdr:rowOff>
        </xdr:from>
        <xdr:to>
          <xdr:col>18</xdr:col>
          <xdr:colOff>390525</xdr:colOff>
          <xdr:row>51</xdr:row>
          <xdr:rowOff>19050</xdr:rowOff>
        </xdr:to>
        <xdr:sp macro="" textlink="">
          <xdr:nvSpPr>
            <xdr:cNvPr id="32809" name="Check Box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0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50</xdr:row>
          <xdr:rowOff>0</xdr:rowOff>
        </xdr:from>
        <xdr:to>
          <xdr:col>18</xdr:col>
          <xdr:colOff>390525</xdr:colOff>
          <xdr:row>51</xdr:row>
          <xdr:rowOff>19050</xdr:rowOff>
        </xdr:to>
        <xdr:sp macro="" textlink="">
          <xdr:nvSpPr>
            <xdr:cNvPr id="32810" name="Check Box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0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51</xdr:row>
          <xdr:rowOff>0</xdr:rowOff>
        </xdr:from>
        <xdr:to>
          <xdr:col>18</xdr:col>
          <xdr:colOff>390525</xdr:colOff>
          <xdr:row>52</xdr:row>
          <xdr:rowOff>19050</xdr:rowOff>
        </xdr:to>
        <xdr:sp macro="" textlink="">
          <xdr:nvSpPr>
            <xdr:cNvPr id="32811" name="Check Box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0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52</xdr:row>
          <xdr:rowOff>0</xdr:rowOff>
        </xdr:from>
        <xdr:to>
          <xdr:col>18</xdr:col>
          <xdr:colOff>390525</xdr:colOff>
          <xdr:row>53</xdr:row>
          <xdr:rowOff>19050</xdr:rowOff>
        </xdr:to>
        <xdr:sp macro="" textlink="">
          <xdr:nvSpPr>
            <xdr:cNvPr id="32812" name="Check Box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0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53</xdr:row>
          <xdr:rowOff>0</xdr:rowOff>
        </xdr:from>
        <xdr:to>
          <xdr:col>18</xdr:col>
          <xdr:colOff>390525</xdr:colOff>
          <xdr:row>54</xdr:row>
          <xdr:rowOff>19050</xdr:rowOff>
        </xdr:to>
        <xdr:sp macro="" textlink="">
          <xdr:nvSpPr>
            <xdr:cNvPr id="32813" name="Check Box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0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54</xdr:row>
          <xdr:rowOff>0</xdr:rowOff>
        </xdr:from>
        <xdr:to>
          <xdr:col>18</xdr:col>
          <xdr:colOff>390525</xdr:colOff>
          <xdr:row>55</xdr:row>
          <xdr:rowOff>19050</xdr:rowOff>
        </xdr:to>
        <xdr:sp macro="" textlink="">
          <xdr:nvSpPr>
            <xdr:cNvPr id="32814" name="Check Box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0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55</xdr:row>
          <xdr:rowOff>0</xdr:rowOff>
        </xdr:from>
        <xdr:to>
          <xdr:col>18</xdr:col>
          <xdr:colOff>390525</xdr:colOff>
          <xdr:row>56</xdr:row>
          <xdr:rowOff>19050</xdr:rowOff>
        </xdr:to>
        <xdr:sp macro="" textlink="">
          <xdr:nvSpPr>
            <xdr:cNvPr id="32815" name="Check Box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0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56</xdr:row>
          <xdr:rowOff>0</xdr:rowOff>
        </xdr:from>
        <xdr:to>
          <xdr:col>18</xdr:col>
          <xdr:colOff>390525</xdr:colOff>
          <xdr:row>57</xdr:row>
          <xdr:rowOff>19050</xdr:rowOff>
        </xdr:to>
        <xdr:sp macro="" textlink="">
          <xdr:nvSpPr>
            <xdr:cNvPr id="32816" name="Check Box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0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57</xdr:row>
          <xdr:rowOff>0</xdr:rowOff>
        </xdr:from>
        <xdr:to>
          <xdr:col>18</xdr:col>
          <xdr:colOff>390525</xdr:colOff>
          <xdr:row>58</xdr:row>
          <xdr:rowOff>19050</xdr:rowOff>
        </xdr:to>
        <xdr:sp macro="" textlink="">
          <xdr:nvSpPr>
            <xdr:cNvPr id="32817" name="Check Box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0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58</xdr:row>
          <xdr:rowOff>0</xdr:rowOff>
        </xdr:from>
        <xdr:to>
          <xdr:col>18</xdr:col>
          <xdr:colOff>390525</xdr:colOff>
          <xdr:row>59</xdr:row>
          <xdr:rowOff>19050</xdr:rowOff>
        </xdr:to>
        <xdr:sp macro="" textlink="">
          <xdr:nvSpPr>
            <xdr:cNvPr id="32818" name="Check Box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0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59</xdr:row>
          <xdr:rowOff>0</xdr:rowOff>
        </xdr:from>
        <xdr:to>
          <xdr:col>18</xdr:col>
          <xdr:colOff>390525</xdr:colOff>
          <xdr:row>60</xdr:row>
          <xdr:rowOff>19050</xdr:rowOff>
        </xdr:to>
        <xdr:sp macro="" textlink="">
          <xdr:nvSpPr>
            <xdr:cNvPr id="32819" name="Check Box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0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60</xdr:row>
          <xdr:rowOff>0</xdr:rowOff>
        </xdr:from>
        <xdr:to>
          <xdr:col>18</xdr:col>
          <xdr:colOff>390525</xdr:colOff>
          <xdr:row>61</xdr:row>
          <xdr:rowOff>19050</xdr:rowOff>
        </xdr:to>
        <xdr:sp macro="" textlink="">
          <xdr:nvSpPr>
            <xdr:cNvPr id="32820" name="Check Box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0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61</xdr:row>
          <xdr:rowOff>0</xdr:rowOff>
        </xdr:from>
        <xdr:to>
          <xdr:col>18</xdr:col>
          <xdr:colOff>390525</xdr:colOff>
          <xdr:row>62</xdr:row>
          <xdr:rowOff>19050</xdr:rowOff>
        </xdr:to>
        <xdr:sp macro="" textlink="">
          <xdr:nvSpPr>
            <xdr:cNvPr id="32821" name="Check Box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0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62</xdr:row>
          <xdr:rowOff>0</xdr:rowOff>
        </xdr:from>
        <xdr:to>
          <xdr:col>18</xdr:col>
          <xdr:colOff>390525</xdr:colOff>
          <xdr:row>63</xdr:row>
          <xdr:rowOff>19050</xdr:rowOff>
        </xdr:to>
        <xdr:sp macro="" textlink="">
          <xdr:nvSpPr>
            <xdr:cNvPr id="32822" name="Check Box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0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63</xdr:row>
          <xdr:rowOff>0</xdr:rowOff>
        </xdr:from>
        <xdr:to>
          <xdr:col>18</xdr:col>
          <xdr:colOff>390525</xdr:colOff>
          <xdr:row>64</xdr:row>
          <xdr:rowOff>19050</xdr:rowOff>
        </xdr:to>
        <xdr:sp macro="" textlink="">
          <xdr:nvSpPr>
            <xdr:cNvPr id="32825" name="Check Box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0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64</xdr:row>
          <xdr:rowOff>0</xdr:rowOff>
        </xdr:from>
        <xdr:to>
          <xdr:col>18</xdr:col>
          <xdr:colOff>390525</xdr:colOff>
          <xdr:row>65</xdr:row>
          <xdr:rowOff>19050</xdr:rowOff>
        </xdr:to>
        <xdr:sp macro="" textlink="">
          <xdr:nvSpPr>
            <xdr:cNvPr id="32826" name="Check Box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0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65</xdr:row>
          <xdr:rowOff>0</xdr:rowOff>
        </xdr:from>
        <xdr:to>
          <xdr:col>18</xdr:col>
          <xdr:colOff>390525</xdr:colOff>
          <xdr:row>66</xdr:row>
          <xdr:rowOff>19050</xdr:rowOff>
        </xdr:to>
        <xdr:sp macro="" textlink="">
          <xdr:nvSpPr>
            <xdr:cNvPr id="32827" name="Check Box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0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66</xdr:row>
          <xdr:rowOff>0</xdr:rowOff>
        </xdr:from>
        <xdr:to>
          <xdr:col>18</xdr:col>
          <xdr:colOff>390525</xdr:colOff>
          <xdr:row>67</xdr:row>
          <xdr:rowOff>19050</xdr:rowOff>
        </xdr:to>
        <xdr:sp macro="" textlink="">
          <xdr:nvSpPr>
            <xdr:cNvPr id="32828" name="Check Box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0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67</xdr:row>
          <xdr:rowOff>0</xdr:rowOff>
        </xdr:from>
        <xdr:to>
          <xdr:col>18</xdr:col>
          <xdr:colOff>390525</xdr:colOff>
          <xdr:row>68</xdr:row>
          <xdr:rowOff>19050</xdr:rowOff>
        </xdr:to>
        <xdr:sp macro="" textlink="">
          <xdr:nvSpPr>
            <xdr:cNvPr id="32829" name="Check Box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0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68</xdr:row>
          <xdr:rowOff>0</xdr:rowOff>
        </xdr:from>
        <xdr:to>
          <xdr:col>18</xdr:col>
          <xdr:colOff>390525</xdr:colOff>
          <xdr:row>69</xdr:row>
          <xdr:rowOff>19050</xdr:rowOff>
        </xdr:to>
        <xdr:sp macro="" textlink="">
          <xdr:nvSpPr>
            <xdr:cNvPr id="32830" name="Check Box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0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69</xdr:row>
          <xdr:rowOff>0</xdr:rowOff>
        </xdr:from>
        <xdr:to>
          <xdr:col>18</xdr:col>
          <xdr:colOff>390525</xdr:colOff>
          <xdr:row>70</xdr:row>
          <xdr:rowOff>19050</xdr:rowOff>
        </xdr:to>
        <xdr:sp macro="" textlink="">
          <xdr:nvSpPr>
            <xdr:cNvPr id="32831" name="Check Box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0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70</xdr:row>
          <xdr:rowOff>0</xdr:rowOff>
        </xdr:from>
        <xdr:to>
          <xdr:col>18</xdr:col>
          <xdr:colOff>390525</xdr:colOff>
          <xdr:row>71</xdr:row>
          <xdr:rowOff>19050</xdr:rowOff>
        </xdr:to>
        <xdr:sp macro="" textlink="">
          <xdr:nvSpPr>
            <xdr:cNvPr id="32832" name="Check Box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0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14</xdr:row>
          <xdr:rowOff>0</xdr:rowOff>
        </xdr:from>
        <xdr:to>
          <xdr:col>18</xdr:col>
          <xdr:colOff>390525</xdr:colOff>
          <xdr:row>15</xdr:row>
          <xdr:rowOff>19050</xdr:rowOff>
        </xdr:to>
        <xdr:sp macro="" textlink="">
          <xdr:nvSpPr>
            <xdr:cNvPr id="32840" name="Check Box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0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15</xdr:row>
          <xdr:rowOff>0</xdr:rowOff>
        </xdr:from>
        <xdr:to>
          <xdr:col>18</xdr:col>
          <xdr:colOff>390525</xdr:colOff>
          <xdr:row>16</xdr:row>
          <xdr:rowOff>19050</xdr:rowOff>
        </xdr:to>
        <xdr:sp macro="" textlink="">
          <xdr:nvSpPr>
            <xdr:cNvPr id="32841" name="Check Box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0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16</xdr:row>
          <xdr:rowOff>0</xdr:rowOff>
        </xdr:from>
        <xdr:to>
          <xdr:col>18</xdr:col>
          <xdr:colOff>390525</xdr:colOff>
          <xdr:row>17</xdr:row>
          <xdr:rowOff>19050</xdr:rowOff>
        </xdr:to>
        <xdr:sp macro="" textlink="">
          <xdr:nvSpPr>
            <xdr:cNvPr id="32842" name="Check Box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0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17</xdr:row>
          <xdr:rowOff>0</xdr:rowOff>
        </xdr:from>
        <xdr:to>
          <xdr:col>18</xdr:col>
          <xdr:colOff>390525</xdr:colOff>
          <xdr:row>18</xdr:row>
          <xdr:rowOff>19050</xdr:rowOff>
        </xdr:to>
        <xdr:sp macro="" textlink="">
          <xdr:nvSpPr>
            <xdr:cNvPr id="32843" name="Check Box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0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18</xdr:row>
          <xdr:rowOff>0</xdr:rowOff>
        </xdr:from>
        <xdr:to>
          <xdr:col>18</xdr:col>
          <xdr:colOff>390525</xdr:colOff>
          <xdr:row>19</xdr:row>
          <xdr:rowOff>19050</xdr:rowOff>
        </xdr:to>
        <xdr:sp macro="" textlink="">
          <xdr:nvSpPr>
            <xdr:cNvPr id="32844" name="Check Box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0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790575</xdr:colOff>
          <xdr:row>24</xdr:row>
          <xdr:rowOff>180975</xdr:rowOff>
        </xdr:from>
        <xdr:to>
          <xdr:col>18</xdr:col>
          <xdr:colOff>390525</xdr:colOff>
          <xdr:row>26</xdr:row>
          <xdr:rowOff>9525</xdr:rowOff>
        </xdr:to>
        <xdr:sp macro="" textlink="">
          <xdr:nvSpPr>
            <xdr:cNvPr id="32864" name="Check Box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0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26</xdr:row>
          <xdr:rowOff>0</xdr:rowOff>
        </xdr:from>
        <xdr:to>
          <xdr:col>18</xdr:col>
          <xdr:colOff>390525</xdr:colOff>
          <xdr:row>27</xdr:row>
          <xdr:rowOff>19050</xdr:rowOff>
        </xdr:to>
        <xdr:sp macro="" textlink="">
          <xdr:nvSpPr>
            <xdr:cNvPr id="32865" name="Check Box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0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27</xdr:row>
          <xdr:rowOff>0</xdr:rowOff>
        </xdr:from>
        <xdr:to>
          <xdr:col>18</xdr:col>
          <xdr:colOff>390525</xdr:colOff>
          <xdr:row>28</xdr:row>
          <xdr:rowOff>19050</xdr:rowOff>
        </xdr:to>
        <xdr:sp macro="" textlink="">
          <xdr:nvSpPr>
            <xdr:cNvPr id="32866" name="Check Box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0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28</xdr:row>
          <xdr:rowOff>0</xdr:rowOff>
        </xdr:from>
        <xdr:to>
          <xdr:col>18</xdr:col>
          <xdr:colOff>390525</xdr:colOff>
          <xdr:row>29</xdr:row>
          <xdr:rowOff>19050</xdr:rowOff>
        </xdr:to>
        <xdr:sp macro="" textlink="">
          <xdr:nvSpPr>
            <xdr:cNvPr id="32867" name="Check Box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0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19</xdr:row>
          <xdr:rowOff>0</xdr:rowOff>
        </xdr:from>
        <xdr:to>
          <xdr:col>18</xdr:col>
          <xdr:colOff>390525</xdr:colOff>
          <xdr:row>20</xdr:row>
          <xdr:rowOff>19050</xdr:rowOff>
        </xdr:to>
        <xdr:sp macro="" textlink="">
          <xdr:nvSpPr>
            <xdr:cNvPr id="32868" name="Check Box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0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20</xdr:row>
          <xdr:rowOff>0</xdr:rowOff>
        </xdr:from>
        <xdr:to>
          <xdr:col>18</xdr:col>
          <xdr:colOff>390525</xdr:colOff>
          <xdr:row>21</xdr:row>
          <xdr:rowOff>19050</xdr:rowOff>
        </xdr:to>
        <xdr:sp macro="" textlink="">
          <xdr:nvSpPr>
            <xdr:cNvPr id="32869" name="Check Box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0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21</xdr:row>
          <xdr:rowOff>0</xdr:rowOff>
        </xdr:from>
        <xdr:to>
          <xdr:col>18</xdr:col>
          <xdr:colOff>390525</xdr:colOff>
          <xdr:row>22</xdr:row>
          <xdr:rowOff>19050</xdr:rowOff>
        </xdr:to>
        <xdr:sp macro="" textlink="">
          <xdr:nvSpPr>
            <xdr:cNvPr id="32870" name="Check Box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0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22</xdr:row>
          <xdr:rowOff>0</xdr:rowOff>
        </xdr:from>
        <xdr:to>
          <xdr:col>18</xdr:col>
          <xdr:colOff>390525</xdr:colOff>
          <xdr:row>23</xdr:row>
          <xdr:rowOff>19050</xdr:rowOff>
        </xdr:to>
        <xdr:sp macro="" textlink="">
          <xdr:nvSpPr>
            <xdr:cNvPr id="32871" name="Check Box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0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23</xdr:row>
          <xdr:rowOff>0</xdr:rowOff>
        </xdr:from>
        <xdr:to>
          <xdr:col>18</xdr:col>
          <xdr:colOff>390525</xdr:colOff>
          <xdr:row>24</xdr:row>
          <xdr:rowOff>19050</xdr:rowOff>
        </xdr:to>
        <xdr:sp macro="" textlink="">
          <xdr:nvSpPr>
            <xdr:cNvPr id="32872" name="Check Box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0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41</xdr:row>
          <xdr:rowOff>0</xdr:rowOff>
        </xdr:from>
        <xdr:to>
          <xdr:col>18</xdr:col>
          <xdr:colOff>390525</xdr:colOff>
          <xdr:row>42</xdr:row>
          <xdr:rowOff>19050</xdr:rowOff>
        </xdr:to>
        <xdr:sp macro="" textlink="">
          <xdr:nvSpPr>
            <xdr:cNvPr id="32873" name="Check Box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0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42</xdr:row>
          <xdr:rowOff>0</xdr:rowOff>
        </xdr:from>
        <xdr:to>
          <xdr:col>18</xdr:col>
          <xdr:colOff>390525</xdr:colOff>
          <xdr:row>43</xdr:row>
          <xdr:rowOff>19050</xdr:rowOff>
        </xdr:to>
        <xdr:sp macro="" textlink="">
          <xdr:nvSpPr>
            <xdr:cNvPr id="32874" name="Check Box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0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43</xdr:row>
          <xdr:rowOff>0</xdr:rowOff>
        </xdr:from>
        <xdr:to>
          <xdr:col>18</xdr:col>
          <xdr:colOff>390525</xdr:colOff>
          <xdr:row>44</xdr:row>
          <xdr:rowOff>19050</xdr:rowOff>
        </xdr:to>
        <xdr:sp macro="" textlink="">
          <xdr:nvSpPr>
            <xdr:cNvPr id="32875" name="Check Box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0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44</xdr:row>
          <xdr:rowOff>0</xdr:rowOff>
        </xdr:from>
        <xdr:to>
          <xdr:col>18</xdr:col>
          <xdr:colOff>390525</xdr:colOff>
          <xdr:row>45</xdr:row>
          <xdr:rowOff>19050</xdr:rowOff>
        </xdr:to>
        <xdr:sp macro="" textlink="">
          <xdr:nvSpPr>
            <xdr:cNvPr id="32876" name="Check Box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0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45</xdr:row>
          <xdr:rowOff>0</xdr:rowOff>
        </xdr:from>
        <xdr:to>
          <xdr:col>18</xdr:col>
          <xdr:colOff>390525</xdr:colOff>
          <xdr:row>46</xdr:row>
          <xdr:rowOff>19050</xdr:rowOff>
        </xdr:to>
        <xdr:sp macro="" textlink="">
          <xdr:nvSpPr>
            <xdr:cNvPr id="32877" name="Check Box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0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7</xdr:row>
          <xdr:rowOff>0</xdr:rowOff>
        </xdr:from>
        <xdr:to>
          <xdr:col>18</xdr:col>
          <xdr:colOff>390525</xdr:colOff>
          <xdr:row>8</xdr:row>
          <xdr:rowOff>19050</xdr:rowOff>
        </xdr:to>
        <xdr:sp macro="" textlink="">
          <xdr:nvSpPr>
            <xdr:cNvPr id="32879" name="Check Box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0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8</xdr:row>
          <xdr:rowOff>0</xdr:rowOff>
        </xdr:from>
        <xdr:to>
          <xdr:col>18</xdr:col>
          <xdr:colOff>390525</xdr:colOff>
          <xdr:row>9</xdr:row>
          <xdr:rowOff>19050</xdr:rowOff>
        </xdr:to>
        <xdr:sp macro="" textlink="">
          <xdr:nvSpPr>
            <xdr:cNvPr id="32880" name="Check Box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0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9</xdr:row>
          <xdr:rowOff>0</xdr:rowOff>
        </xdr:from>
        <xdr:to>
          <xdr:col>18</xdr:col>
          <xdr:colOff>390525</xdr:colOff>
          <xdr:row>10</xdr:row>
          <xdr:rowOff>19050</xdr:rowOff>
        </xdr:to>
        <xdr:sp macro="" textlink="">
          <xdr:nvSpPr>
            <xdr:cNvPr id="32881" name="Check Box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0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0</xdr:rowOff>
        </xdr:from>
        <xdr:to>
          <xdr:col>18</xdr:col>
          <xdr:colOff>390525</xdr:colOff>
          <xdr:row>11</xdr:row>
          <xdr:rowOff>19050</xdr:rowOff>
        </xdr:to>
        <xdr:sp macro="" textlink="">
          <xdr:nvSpPr>
            <xdr:cNvPr id="32882" name="Check Box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0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11</xdr:row>
          <xdr:rowOff>0</xdr:rowOff>
        </xdr:from>
        <xdr:to>
          <xdr:col>18</xdr:col>
          <xdr:colOff>390525</xdr:colOff>
          <xdr:row>12</xdr:row>
          <xdr:rowOff>19050</xdr:rowOff>
        </xdr:to>
        <xdr:sp macro="" textlink="">
          <xdr:nvSpPr>
            <xdr:cNvPr id="32883" name="Check Box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0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12</xdr:row>
          <xdr:rowOff>0</xdr:rowOff>
        </xdr:from>
        <xdr:to>
          <xdr:col>18</xdr:col>
          <xdr:colOff>390525</xdr:colOff>
          <xdr:row>13</xdr:row>
          <xdr:rowOff>19050</xdr:rowOff>
        </xdr:to>
        <xdr:sp macro="" textlink="">
          <xdr:nvSpPr>
            <xdr:cNvPr id="32884" name="Check Box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0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13</xdr:row>
          <xdr:rowOff>0</xdr:rowOff>
        </xdr:from>
        <xdr:to>
          <xdr:col>18</xdr:col>
          <xdr:colOff>390525</xdr:colOff>
          <xdr:row>14</xdr:row>
          <xdr:rowOff>19050</xdr:rowOff>
        </xdr:to>
        <xdr:sp macro="" textlink="">
          <xdr:nvSpPr>
            <xdr:cNvPr id="32885" name="Check Box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0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71</xdr:row>
          <xdr:rowOff>0</xdr:rowOff>
        </xdr:from>
        <xdr:to>
          <xdr:col>18</xdr:col>
          <xdr:colOff>390525</xdr:colOff>
          <xdr:row>72</xdr:row>
          <xdr:rowOff>19050</xdr:rowOff>
        </xdr:to>
        <xdr:sp macro="" textlink="">
          <xdr:nvSpPr>
            <xdr:cNvPr id="32886" name="Check Box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0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72</xdr:row>
          <xdr:rowOff>0</xdr:rowOff>
        </xdr:from>
        <xdr:to>
          <xdr:col>18</xdr:col>
          <xdr:colOff>390525</xdr:colOff>
          <xdr:row>73</xdr:row>
          <xdr:rowOff>19050</xdr:rowOff>
        </xdr:to>
        <xdr:sp macro="" textlink="">
          <xdr:nvSpPr>
            <xdr:cNvPr id="32887" name="Check Box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0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73</xdr:row>
          <xdr:rowOff>0</xdr:rowOff>
        </xdr:from>
        <xdr:to>
          <xdr:col>18</xdr:col>
          <xdr:colOff>390525</xdr:colOff>
          <xdr:row>74</xdr:row>
          <xdr:rowOff>19050</xdr:rowOff>
        </xdr:to>
        <xdr:sp macro="" textlink="">
          <xdr:nvSpPr>
            <xdr:cNvPr id="32888" name="Check Box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0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74</xdr:row>
          <xdr:rowOff>0</xdr:rowOff>
        </xdr:from>
        <xdr:to>
          <xdr:col>18</xdr:col>
          <xdr:colOff>0</xdr:colOff>
          <xdr:row>75</xdr:row>
          <xdr:rowOff>19050</xdr:rowOff>
        </xdr:to>
        <xdr:sp macro="" textlink="">
          <xdr:nvSpPr>
            <xdr:cNvPr id="32889" name="Check Box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0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75</xdr:row>
          <xdr:rowOff>0</xdr:rowOff>
        </xdr:from>
        <xdr:to>
          <xdr:col>18</xdr:col>
          <xdr:colOff>0</xdr:colOff>
          <xdr:row>76</xdr:row>
          <xdr:rowOff>19050</xdr:rowOff>
        </xdr:to>
        <xdr:sp macro="" textlink="">
          <xdr:nvSpPr>
            <xdr:cNvPr id="32890" name="Check Box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0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84</xdr:row>
          <xdr:rowOff>161925</xdr:rowOff>
        </xdr:from>
        <xdr:to>
          <xdr:col>18</xdr:col>
          <xdr:colOff>0</xdr:colOff>
          <xdr:row>85</xdr:row>
          <xdr:rowOff>180975</xdr:rowOff>
        </xdr:to>
        <xdr:sp macro="" textlink="">
          <xdr:nvSpPr>
            <xdr:cNvPr id="32900" name="Check Box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0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86</xdr:row>
          <xdr:rowOff>0</xdr:rowOff>
        </xdr:from>
        <xdr:to>
          <xdr:col>18</xdr:col>
          <xdr:colOff>0</xdr:colOff>
          <xdr:row>87</xdr:row>
          <xdr:rowOff>19050</xdr:rowOff>
        </xdr:to>
        <xdr:sp macro="" textlink="">
          <xdr:nvSpPr>
            <xdr:cNvPr id="32901" name="Check Box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0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87</xdr:row>
          <xdr:rowOff>0</xdr:rowOff>
        </xdr:from>
        <xdr:to>
          <xdr:col>18</xdr:col>
          <xdr:colOff>0</xdr:colOff>
          <xdr:row>88</xdr:row>
          <xdr:rowOff>19050</xdr:rowOff>
        </xdr:to>
        <xdr:sp macro="" textlink="">
          <xdr:nvSpPr>
            <xdr:cNvPr id="32902" name="Check Box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0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88</xdr:row>
          <xdr:rowOff>0</xdr:rowOff>
        </xdr:from>
        <xdr:to>
          <xdr:col>18</xdr:col>
          <xdr:colOff>0</xdr:colOff>
          <xdr:row>89</xdr:row>
          <xdr:rowOff>19050</xdr:rowOff>
        </xdr:to>
        <xdr:sp macro="" textlink="">
          <xdr:nvSpPr>
            <xdr:cNvPr id="32903" name="Check Box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0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89</xdr:row>
          <xdr:rowOff>0</xdr:rowOff>
        </xdr:from>
        <xdr:to>
          <xdr:col>18</xdr:col>
          <xdr:colOff>0</xdr:colOff>
          <xdr:row>90</xdr:row>
          <xdr:rowOff>19050</xdr:rowOff>
        </xdr:to>
        <xdr:sp macro="" textlink="">
          <xdr:nvSpPr>
            <xdr:cNvPr id="32904" name="Check Box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0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90</xdr:row>
          <xdr:rowOff>0</xdr:rowOff>
        </xdr:from>
        <xdr:to>
          <xdr:col>18</xdr:col>
          <xdr:colOff>0</xdr:colOff>
          <xdr:row>91</xdr:row>
          <xdr:rowOff>9525</xdr:rowOff>
        </xdr:to>
        <xdr:sp macro="" textlink="">
          <xdr:nvSpPr>
            <xdr:cNvPr id="32905" name="Check Box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0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91</xdr:row>
          <xdr:rowOff>0</xdr:rowOff>
        </xdr:from>
        <xdr:to>
          <xdr:col>18</xdr:col>
          <xdr:colOff>0</xdr:colOff>
          <xdr:row>92</xdr:row>
          <xdr:rowOff>9525</xdr:rowOff>
        </xdr:to>
        <xdr:sp macro="" textlink="">
          <xdr:nvSpPr>
            <xdr:cNvPr id="32906" name="Check Box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0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92</xdr:row>
          <xdr:rowOff>0</xdr:rowOff>
        </xdr:from>
        <xdr:to>
          <xdr:col>18</xdr:col>
          <xdr:colOff>0</xdr:colOff>
          <xdr:row>93</xdr:row>
          <xdr:rowOff>19050</xdr:rowOff>
        </xdr:to>
        <xdr:sp macro="" textlink="">
          <xdr:nvSpPr>
            <xdr:cNvPr id="32907" name="Check Box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0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93</xdr:row>
          <xdr:rowOff>0</xdr:rowOff>
        </xdr:from>
        <xdr:to>
          <xdr:col>18</xdr:col>
          <xdr:colOff>0</xdr:colOff>
          <xdr:row>94</xdr:row>
          <xdr:rowOff>19050</xdr:rowOff>
        </xdr:to>
        <xdr:sp macro="" textlink="">
          <xdr:nvSpPr>
            <xdr:cNvPr id="32908" name="Check Box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0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94</xdr:row>
          <xdr:rowOff>0</xdr:rowOff>
        </xdr:from>
        <xdr:to>
          <xdr:col>18</xdr:col>
          <xdr:colOff>0</xdr:colOff>
          <xdr:row>95</xdr:row>
          <xdr:rowOff>19050</xdr:rowOff>
        </xdr:to>
        <xdr:sp macro="" textlink="">
          <xdr:nvSpPr>
            <xdr:cNvPr id="32909" name="Check Box 141" hidden="1">
              <a:extLst>
                <a:ext uri="{63B3BB69-23CF-44E3-9099-C40C66FF867C}">
                  <a14:compatExt spid="_x0000_s32909"/>
                </a:ext>
                <a:ext uri="{FF2B5EF4-FFF2-40B4-BE49-F238E27FC236}">
                  <a16:creationId xmlns:a16="http://schemas.microsoft.com/office/drawing/2014/main" id="{00000000-0008-0000-0000-00008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95</xdr:row>
          <xdr:rowOff>0</xdr:rowOff>
        </xdr:from>
        <xdr:to>
          <xdr:col>18</xdr:col>
          <xdr:colOff>0</xdr:colOff>
          <xdr:row>96</xdr:row>
          <xdr:rowOff>19050</xdr:rowOff>
        </xdr:to>
        <xdr:sp macro="" textlink="">
          <xdr:nvSpPr>
            <xdr:cNvPr id="32910" name="Check Box 142" hidden="1">
              <a:extLst>
                <a:ext uri="{63B3BB69-23CF-44E3-9099-C40C66FF867C}">
                  <a14:compatExt spid="_x0000_s32910"/>
                </a:ext>
                <a:ext uri="{FF2B5EF4-FFF2-40B4-BE49-F238E27FC236}">
                  <a16:creationId xmlns:a16="http://schemas.microsoft.com/office/drawing/2014/main" id="{00000000-0008-0000-0000-00008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96</xdr:row>
          <xdr:rowOff>0</xdr:rowOff>
        </xdr:from>
        <xdr:to>
          <xdr:col>18</xdr:col>
          <xdr:colOff>0</xdr:colOff>
          <xdr:row>97</xdr:row>
          <xdr:rowOff>19050</xdr:rowOff>
        </xdr:to>
        <xdr:sp macro="" textlink="">
          <xdr:nvSpPr>
            <xdr:cNvPr id="32911" name="Check Box 143" hidden="1">
              <a:extLst>
                <a:ext uri="{63B3BB69-23CF-44E3-9099-C40C66FF867C}">
                  <a14:compatExt spid="_x0000_s32911"/>
                </a:ext>
                <a:ext uri="{FF2B5EF4-FFF2-40B4-BE49-F238E27FC236}">
                  <a16:creationId xmlns:a16="http://schemas.microsoft.com/office/drawing/2014/main" id="{00000000-0008-0000-0000-00008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97</xdr:row>
          <xdr:rowOff>0</xdr:rowOff>
        </xdr:from>
        <xdr:to>
          <xdr:col>18</xdr:col>
          <xdr:colOff>0</xdr:colOff>
          <xdr:row>98</xdr:row>
          <xdr:rowOff>19050</xdr:rowOff>
        </xdr:to>
        <xdr:sp macro="" textlink="">
          <xdr:nvSpPr>
            <xdr:cNvPr id="32912" name="Check Box 144" hidden="1">
              <a:extLst>
                <a:ext uri="{63B3BB69-23CF-44E3-9099-C40C66FF867C}">
                  <a14:compatExt spid="_x0000_s32912"/>
                </a:ext>
                <a:ext uri="{FF2B5EF4-FFF2-40B4-BE49-F238E27FC236}">
                  <a16:creationId xmlns:a16="http://schemas.microsoft.com/office/drawing/2014/main" id="{00000000-0008-0000-0000-00009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98</xdr:row>
          <xdr:rowOff>0</xdr:rowOff>
        </xdr:from>
        <xdr:to>
          <xdr:col>18</xdr:col>
          <xdr:colOff>0</xdr:colOff>
          <xdr:row>99</xdr:row>
          <xdr:rowOff>19050</xdr:rowOff>
        </xdr:to>
        <xdr:sp macro="" textlink="">
          <xdr:nvSpPr>
            <xdr:cNvPr id="32913" name="Check Box 145" hidden="1">
              <a:extLst>
                <a:ext uri="{63B3BB69-23CF-44E3-9099-C40C66FF867C}">
                  <a14:compatExt spid="_x0000_s32913"/>
                </a:ext>
                <a:ext uri="{FF2B5EF4-FFF2-40B4-BE49-F238E27FC236}">
                  <a16:creationId xmlns:a16="http://schemas.microsoft.com/office/drawing/2014/main" id="{00000000-0008-0000-0000-00009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99</xdr:row>
          <xdr:rowOff>0</xdr:rowOff>
        </xdr:from>
        <xdr:to>
          <xdr:col>18</xdr:col>
          <xdr:colOff>0</xdr:colOff>
          <xdr:row>100</xdr:row>
          <xdr:rowOff>19050</xdr:rowOff>
        </xdr:to>
        <xdr:sp macro="" textlink="">
          <xdr:nvSpPr>
            <xdr:cNvPr id="32914" name="Check Box 146" hidden="1">
              <a:extLst>
                <a:ext uri="{63B3BB69-23CF-44E3-9099-C40C66FF867C}">
                  <a14:compatExt spid="_x0000_s32914"/>
                </a:ext>
                <a:ext uri="{FF2B5EF4-FFF2-40B4-BE49-F238E27FC236}">
                  <a16:creationId xmlns:a16="http://schemas.microsoft.com/office/drawing/2014/main" id="{00000000-0008-0000-0000-00009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100</xdr:row>
          <xdr:rowOff>0</xdr:rowOff>
        </xdr:from>
        <xdr:to>
          <xdr:col>18</xdr:col>
          <xdr:colOff>0</xdr:colOff>
          <xdr:row>101</xdr:row>
          <xdr:rowOff>19050</xdr:rowOff>
        </xdr:to>
        <xdr:sp macro="" textlink="">
          <xdr:nvSpPr>
            <xdr:cNvPr id="32915" name="Check Box 147" hidden="1">
              <a:extLst>
                <a:ext uri="{63B3BB69-23CF-44E3-9099-C40C66FF867C}">
                  <a14:compatExt spid="_x0000_s32915"/>
                </a:ext>
                <a:ext uri="{FF2B5EF4-FFF2-40B4-BE49-F238E27FC236}">
                  <a16:creationId xmlns:a16="http://schemas.microsoft.com/office/drawing/2014/main" id="{00000000-0008-0000-0000-00009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101</xdr:row>
          <xdr:rowOff>0</xdr:rowOff>
        </xdr:from>
        <xdr:to>
          <xdr:col>18</xdr:col>
          <xdr:colOff>0</xdr:colOff>
          <xdr:row>102</xdr:row>
          <xdr:rowOff>19050</xdr:rowOff>
        </xdr:to>
        <xdr:sp macro="" textlink="">
          <xdr:nvSpPr>
            <xdr:cNvPr id="32916" name="Check Box 148" hidden="1">
              <a:extLst>
                <a:ext uri="{63B3BB69-23CF-44E3-9099-C40C66FF867C}">
                  <a14:compatExt spid="_x0000_s32916"/>
                </a:ext>
                <a:ext uri="{FF2B5EF4-FFF2-40B4-BE49-F238E27FC236}">
                  <a16:creationId xmlns:a16="http://schemas.microsoft.com/office/drawing/2014/main" id="{00000000-0008-0000-0000-00009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102</xdr:row>
          <xdr:rowOff>0</xdr:rowOff>
        </xdr:from>
        <xdr:to>
          <xdr:col>18</xdr:col>
          <xdr:colOff>0</xdr:colOff>
          <xdr:row>103</xdr:row>
          <xdr:rowOff>19050</xdr:rowOff>
        </xdr:to>
        <xdr:sp macro="" textlink="">
          <xdr:nvSpPr>
            <xdr:cNvPr id="32917" name="Check Box 149" hidden="1">
              <a:extLst>
                <a:ext uri="{63B3BB69-23CF-44E3-9099-C40C66FF867C}">
                  <a14:compatExt spid="_x0000_s32917"/>
                </a:ext>
                <a:ext uri="{FF2B5EF4-FFF2-40B4-BE49-F238E27FC236}">
                  <a16:creationId xmlns:a16="http://schemas.microsoft.com/office/drawing/2014/main" id="{00000000-0008-0000-0000-00009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103</xdr:row>
          <xdr:rowOff>0</xdr:rowOff>
        </xdr:from>
        <xdr:to>
          <xdr:col>18</xdr:col>
          <xdr:colOff>0</xdr:colOff>
          <xdr:row>104</xdr:row>
          <xdr:rowOff>19050</xdr:rowOff>
        </xdr:to>
        <xdr:sp macro="" textlink="">
          <xdr:nvSpPr>
            <xdr:cNvPr id="32918" name="Check Box 150" hidden="1">
              <a:extLst>
                <a:ext uri="{63B3BB69-23CF-44E3-9099-C40C66FF867C}">
                  <a14:compatExt spid="_x0000_s32918"/>
                </a:ext>
                <a:ext uri="{FF2B5EF4-FFF2-40B4-BE49-F238E27FC236}">
                  <a16:creationId xmlns:a16="http://schemas.microsoft.com/office/drawing/2014/main" id="{00000000-0008-0000-0000-00009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104</xdr:row>
          <xdr:rowOff>0</xdr:rowOff>
        </xdr:from>
        <xdr:to>
          <xdr:col>18</xdr:col>
          <xdr:colOff>0</xdr:colOff>
          <xdr:row>105</xdr:row>
          <xdr:rowOff>19050</xdr:rowOff>
        </xdr:to>
        <xdr:sp macro="" textlink="">
          <xdr:nvSpPr>
            <xdr:cNvPr id="32919" name="Check Box 151" hidden="1">
              <a:extLst>
                <a:ext uri="{63B3BB69-23CF-44E3-9099-C40C66FF867C}">
                  <a14:compatExt spid="_x0000_s32919"/>
                </a:ext>
                <a:ext uri="{FF2B5EF4-FFF2-40B4-BE49-F238E27FC236}">
                  <a16:creationId xmlns:a16="http://schemas.microsoft.com/office/drawing/2014/main" id="{00000000-0008-0000-0000-00009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105</xdr:row>
          <xdr:rowOff>0</xdr:rowOff>
        </xdr:from>
        <xdr:to>
          <xdr:col>18</xdr:col>
          <xdr:colOff>0</xdr:colOff>
          <xdr:row>106</xdr:row>
          <xdr:rowOff>19050</xdr:rowOff>
        </xdr:to>
        <xdr:sp macro="" textlink="">
          <xdr:nvSpPr>
            <xdr:cNvPr id="32920" name="Check Box 152" hidden="1">
              <a:extLst>
                <a:ext uri="{63B3BB69-23CF-44E3-9099-C40C66FF867C}">
                  <a14:compatExt spid="_x0000_s32920"/>
                </a:ext>
                <a:ext uri="{FF2B5EF4-FFF2-40B4-BE49-F238E27FC236}">
                  <a16:creationId xmlns:a16="http://schemas.microsoft.com/office/drawing/2014/main" id="{00000000-0008-0000-0000-00009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106</xdr:row>
          <xdr:rowOff>0</xdr:rowOff>
        </xdr:from>
        <xdr:to>
          <xdr:col>18</xdr:col>
          <xdr:colOff>0</xdr:colOff>
          <xdr:row>107</xdr:row>
          <xdr:rowOff>19050</xdr:rowOff>
        </xdr:to>
        <xdr:sp macro="" textlink="">
          <xdr:nvSpPr>
            <xdr:cNvPr id="32921" name="Check Box 153" hidden="1">
              <a:extLst>
                <a:ext uri="{63B3BB69-23CF-44E3-9099-C40C66FF867C}">
                  <a14:compatExt spid="_x0000_s32921"/>
                </a:ext>
                <a:ext uri="{FF2B5EF4-FFF2-40B4-BE49-F238E27FC236}">
                  <a16:creationId xmlns:a16="http://schemas.microsoft.com/office/drawing/2014/main" id="{00000000-0008-0000-0000-00009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107</xdr:row>
          <xdr:rowOff>0</xdr:rowOff>
        </xdr:from>
        <xdr:to>
          <xdr:col>18</xdr:col>
          <xdr:colOff>0</xdr:colOff>
          <xdr:row>108</xdr:row>
          <xdr:rowOff>19050</xdr:rowOff>
        </xdr:to>
        <xdr:sp macro="" textlink="">
          <xdr:nvSpPr>
            <xdr:cNvPr id="32922" name="Check Box 154" hidden="1">
              <a:extLst>
                <a:ext uri="{63B3BB69-23CF-44E3-9099-C40C66FF867C}">
                  <a14:compatExt spid="_x0000_s32922"/>
                </a:ext>
                <a:ext uri="{FF2B5EF4-FFF2-40B4-BE49-F238E27FC236}">
                  <a16:creationId xmlns:a16="http://schemas.microsoft.com/office/drawing/2014/main" id="{00000000-0008-0000-0000-00009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108</xdr:row>
          <xdr:rowOff>0</xdr:rowOff>
        </xdr:from>
        <xdr:to>
          <xdr:col>18</xdr:col>
          <xdr:colOff>0</xdr:colOff>
          <xdr:row>109</xdr:row>
          <xdr:rowOff>19050</xdr:rowOff>
        </xdr:to>
        <xdr:sp macro="" textlink="">
          <xdr:nvSpPr>
            <xdr:cNvPr id="32923" name="Check Box 155" hidden="1">
              <a:extLst>
                <a:ext uri="{63B3BB69-23CF-44E3-9099-C40C66FF867C}">
                  <a14:compatExt spid="_x0000_s32923"/>
                </a:ext>
                <a:ext uri="{FF2B5EF4-FFF2-40B4-BE49-F238E27FC236}">
                  <a16:creationId xmlns:a16="http://schemas.microsoft.com/office/drawing/2014/main" id="{00000000-0008-0000-0000-00009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109</xdr:row>
          <xdr:rowOff>0</xdr:rowOff>
        </xdr:from>
        <xdr:to>
          <xdr:col>18</xdr:col>
          <xdr:colOff>0</xdr:colOff>
          <xdr:row>110</xdr:row>
          <xdr:rowOff>19050</xdr:rowOff>
        </xdr:to>
        <xdr:sp macro="" textlink="">
          <xdr:nvSpPr>
            <xdr:cNvPr id="32924" name="Check Box 156" hidden="1">
              <a:extLst>
                <a:ext uri="{63B3BB69-23CF-44E3-9099-C40C66FF867C}">
                  <a14:compatExt spid="_x0000_s32924"/>
                </a:ext>
                <a:ext uri="{FF2B5EF4-FFF2-40B4-BE49-F238E27FC236}">
                  <a16:creationId xmlns:a16="http://schemas.microsoft.com/office/drawing/2014/main" id="{00000000-0008-0000-0000-00009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110</xdr:row>
          <xdr:rowOff>0</xdr:rowOff>
        </xdr:from>
        <xdr:to>
          <xdr:col>18</xdr:col>
          <xdr:colOff>0</xdr:colOff>
          <xdr:row>111</xdr:row>
          <xdr:rowOff>19050</xdr:rowOff>
        </xdr:to>
        <xdr:sp macro="" textlink="">
          <xdr:nvSpPr>
            <xdr:cNvPr id="32925" name="Check Box 157" hidden="1">
              <a:extLst>
                <a:ext uri="{63B3BB69-23CF-44E3-9099-C40C66FF867C}">
                  <a14:compatExt spid="_x0000_s32925"/>
                </a:ext>
                <a:ext uri="{FF2B5EF4-FFF2-40B4-BE49-F238E27FC236}">
                  <a16:creationId xmlns:a16="http://schemas.microsoft.com/office/drawing/2014/main" id="{00000000-0008-0000-0000-00009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111</xdr:row>
          <xdr:rowOff>0</xdr:rowOff>
        </xdr:from>
        <xdr:to>
          <xdr:col>18</xdr:col>
          <xdr:colOff>0</xdr:colOff>
          <xdr:row>112</xdr:row>
          <xdr:rowOff>19050</xdr:rowOff>
        </xdr:to>
        <xdr:sp macro="" textlink="">
          <xdr:nvSpPr>
            <xdr:cNvPr id="32926" name="Check Box 158" hidden="1">
              <a:extLst>
                <a:ext uri="{63B3BB69-23CF-44E3-9099-C40C66FF867C}">
                  <a14:compatExt spid="_x0000_s32926"/>
                </a:ext>
                <a:ext uri="{FF2B5EF4-FFF2-40B4-BE49-F238E27FC236}">
                  <a16:creationId xmlns:a16="http://schemas.microsoft.com/office/drawing/2014/main" id="{00000000-0008-0000-0000-00009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112</xdr:row>
          <xdr:rowOff>0</xdr:rowOff>
        </xdr:from>
        <xdr:to>
          <xdr:col>18</xdr:col>
          <xdr:colOff>0</xdr:colOff>
          <xdr:row>113</xdr:row>
          <xdr:rowOff>19050</xdr:rowOff>
        </xdr:to>
        <xdr:sp macro="" textlink="">
          <xdr:nvSpPr>
            <xdr:cNvPr id="32927" name="Check Box 159" hidden="1">
              <a:extLst>
                <a:ext uri="{63B3BB69-23CF-44E3-9099-C40C66FF867C}">
                  <a14:compatExt spid="_x0000_s32927"/>
                </a:ext>
                <a:ext uri="{FF2B5EF4-FFF2-40B4-BE49-F238E27FC236}">
                  <a16:creationId xmlns:a16="http://schemas.microsoft.com/office/drawing/2014/main" id="{00000000-0008-0000-0000-00009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113</xdr:row>
          <xdr:rowOff>0</xdr:rowOff>
        </xdr:from>
        <xdr:to>
          <xdr:col>18</xdr:col>
          <xdr:colOff>0</xdr:colOff>
          <xdr:row>114</xdr:row>
          <xdr:rowOff>19050</xdr:rowOff>
        </xdr:to>
        <xdr:sp macro="" textlink="">
          <xdr:nvSpPr>
            <xdr:cNvPr id="32928" name="Check Box 160" hidden="1">
              <a:extLst>
                <a:ext uri="{63B3BB69-23CF-44E3-9099-C40C66FF867C}">
                  <a14:compatExt spid="_x0000_s32928"/>
                </a:ext>
                <a:ext uri="{FF2B5EF4-FFF2-40B4-BE49-F238E27FC236}">
                  <a16:creationId xmlns:a16="http://schemas.microsoft.com/office/drawing/2014/main" id="{00000000-0008-0000-0000-0000A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114</xdr:row>
          <xdr:rowOff>0</xdr:rowOff>
        </xdr:from>
        <xdr:to>
          <xdr:col>18</xdr:col>
          <xdr:colOff>0</xdr:colOff>
          <xdr:row>115</xdr:row>
          <xdr:rowOff>19050</xdr:rowOff>
        </xdr:to>
        <xdr:sp macro="" textlink="">
          <xdr:nvSpPr>
            <xdr:cNvPr id="32929" name="Check Box 161" hidden="1">
              <a:extLst>
                <a:ext uri="{63B3BB69-23CF-44E3-9099-C40C66FF867C}">
                  <a14:compatExt spid="_x0000_s32929"/>
                </a:ext>
                <a:ext uri="{FF2B5EF4-FFF2-40B4-BE49-F238E27FC236}">
                  <a16:creationId xmlns:a16="http://schemas.microsoft.com/office/drawing/2014/main" id="{00000000-0008-0000-0000-0000A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115</xdr:row>
          <xdr:rowOff>0</xdr:rowOff>
        </xdr:from>
        <xdr:to>
          <xdr:col>18</xdr:col>
          <xdr:colOff>0</xdr:colOff>
          <xdr:row>116</xdr:row>
          <xdr:rowOff>19050</xdr:rowOff>
        </xdr:to>
        <xdr:sp macro="" textlink="">
          <xdr:nvSpPr>
            <xdr:cNvPr id="32930" name="Check Box 162" hidden="1">
              <a:extLst>
                <a:ext uri="{63B3BB69-23CF-44E3-9099-C40C66FF867C}">
                  <a14:compatExt spid="_x0000_s32930"/>
                </a:ext>
                <a:ext uri="{FF2B5EF4-FFF2-40B4-BE49-F238E27FC236}">
                  <a16:creationId xmlns:a16="http://schemas.microsoft.com/office/drawing/2014/main" id="{00000000-0008-0000-0000-0000A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116</xdr:row>
          <xdr:rowOff>0</xdr:rowOff>
        </xdr:from>
        <xdr:to>
          <xdr:col>18</xdr:col>
          <xdr:colOff>0</xdr:colOff>
          <xdr:row>117</xdr:row>
          <xdr:rowOff>19050</xdr:rowOff>
        </xdr:to>
        <xdr:sp macro="" textlink="">
          <xdr:nvSpPr>
            <xdr:cNvPr id="32931" name="Check Box 163" hidden="1">
              <a:extLst>
                <a:ext uri="{63B3BB69-23CF-44E3-9099-C40C66FF867C}">
                  <a14:compatExt spid="_x0000_s32931"/>
                </a:ext>
                <a:ext uri="{FF2B5EF4-FFF2-40B4-BE49-F238E27FC236}">
                  <a16:creationId xmlns:a16="http://schemas.microsoft.com/office/drawing/2014/main" id="{00000000-0008-0000-0000-0000A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117</xdr:row>
          <xdr:rowOff>0</xdr:rowOff>
        </xdr:from>
        <xdr:to>
          <xdr:col>18</xdr:col>
          <xdr:colOff>0</xdr:colOff>
          <xdr:row>118</xdr:row>
          <xdr:rowOff>19050</xdr:rowOff>
        </xdr:to>
        <xdr:sp macro="" textlink="">
          <xdr:nvSpPr>
            <xdr:cNvPr id="32932" name="Check Box 164" hidden="1">
              <a:extLst>
                <a:ext uri="{63B3BB69-23CF-44E3-9099-C40C66FF867C}">
                  <a14:compatExt spid="_x0000_s32932"/>
                </a:ext>
                <a:ext uri="{FF2B5EF4-FFF2-40B4-BE49-F238E27FC236}">
                  <a16:creationId xmlns:a16="http://schemas.microsoft.com/office/drawing/2014/main" id="{00000000-0008-0000-0000-0000A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118</xdr:row>
          <xdr:rowOff>0</xdr:rowOff>
        </xdr:from>
        <xdr:to>
          <xdr:col>18</xdr:col>
          <xdr:colOff>0</xdr:colOff>
          <xdr:row>119</xdr:row>
          <xdr:rowOff>19050</xdr:rowOff>
        </xdr:to>
        <xdr:sp macro="" textlink="">
          <xdr:nvSpPr>
            <xdr:cNvPr id="32933" name="Check Box 165" hidden="1">
              <a:extLst>
                <a:ext uri="{63B3BB69-23CF-44E3-9099-C40C66FF867C}">
                  <a14:compatExt spid="_x0000_s32933"/>
                </a:ext>
                <a:ext uri="{FF2B5EF4-FFF2-40B4-BE49-F238E27FC236}">
                  <a16:creationId xmlns:a16="http://schemas.microsoft.com/office/drawing/2014/main" id="{00000000-0008-0000-0000-0000A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119</xdr:row>
          <xdr:rowOff>0</xdr:rowOff>
        </xdr:from>
        <xdr:to>
          <xdr:col>18</xdr:col>
          <xdr:colOff>0</xdr:colOff>
          <xdr:row>120</xdr:row>
          <xdr:rowOff>19050</xdr:rowOff>
        </xdr:to>
        <xdr:sp macro="" textlink="">
          <xdr:nvSpPr>
            <xdr:cNvPr id="32934" name="Check Box 166" hidden="1">
              <a:extLst>
                <a:ext uri="{63B3BB69-23CF-44E3-9099-C40C66FF867C}">
                  <a14:compatExt spid="_x0000_s32934"/>
                </a:ext>
                <a:ext uri="{FF2B5EF4-FFF2-40B4-BE49-F238E27FC236}">
                  <a16:creationId xmlns:a16="http://schemas.microsoft.com/office/drawing/2014/main" id="{00000000-0008-0000-0000-0000A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120</xdr:row>
          <xdr:rowOff>0</xdr:rowOff>
        </xdr:from>
        <xdr:to>
          <xdr:col>18</xdr:col>
          <xdr:colOff>0</xdr:colOff>
          <xdr:row>121</xdr:row>
          <xdr:rowOff>19050</xdr:rowOff>
        </xdr:to>
        <xdr:sp macro="" textlink="">
          <xdr:nvSpPr>
            <xdr:cNvPr id="32935" name="Check Box 167" hidden="1">
              <a:extLst>
                <a:ext uri="{63B3BB69-23CF-44E3-9099-C40C66FF867C}">
                  <a14:compatExt spid="_x0000_s32935"/>
                </a:ext>
                <a:ext uri="{FF2B5EF4-FFF2-40B4-BE49-F238E27FC236}">
                  <a16:creationId xmlns:a16="http://schemas.microsoft.com/office/drawing/2014/main" id="{00000000-0008-0000-0000-0000A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121</xdr:row>
          <xdr:rowOff>0</xdr:rowOff>
        </xdr:from>
        <xdr:to>
          <xdr:col>18</xdr:col>
          <xdr:colOff>0</xdr:colOff>
          <xdr:row>122</xdr:row>
          <xdr:rowOff>19050</xdr:rowOff>
        </xdr:to>
        <xdr:sp macro="" textlink="">
          <xdr:nvSpPr>
            <xdr:cNvPr id="32936" name="Check Box 168" hidden="1">
              <a:extLst>
                <a:ext uri="{63B3BB69-23CF-44E3-9099-C40C66FF867C}">
                  <a14:compatExt spid="_x0000_s32936"/>
                </a:ext>
                <a:ext uri="{FF2B5EF4-FFF2-40B4-BE49-F238E27FC236}">
                  <a16:creationId xmlns:a16="http://schemas.microsoft.com/office/drawing/2014/main" id="{00000000-0008-0000-0000-0000A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122</xdr:row>
          <xdr:rowOff>0</xdr:rowOff>
        </xdr:from>
        <xdr:to>
          <xdr:col>18</xdr:col>
          <xdr:colOff>0</xdr:colOff>
          <xdr:row>123</xdr:row>
          <xdr:rowOff>19050</xdr:rowOff>
        </xdr:to>
        <xdr:sp macro="" textlink="">
          <xdr:nvSpPr>
            <xdr:cNvPr id="32937" name="Check Box 169" hidden="1">
              <a:extLst>
                <a:ext uri="{63B3BB69-23CF-44E3-9099-C40C66FF867C}">
                  <a14:compatExt spid="_x0000_s32937"/>
                </a:ext>
                <a:ext uri="{FF2B5EF4-FFF2-40B4-BE49-F238E27FC236}">
                  <a16:creationId xmlns:a16="http://schemas.microsoft.com/office/drawing/2014/main" id="{00000000-0008-0000-0000-0000A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123</xdr:row>
          <xdr:rowOff>0</xdr:rowOff>
        </xdr:from>
        <xdr:to>
          <xdr:col>18</xdr:col>
          <xdr:colOff>0</xdr:colOff>
          <xdr:row>124</xdr:row>
          <xdr:rowOff>19050</xdr:rowOff>
        </xdr:to>
        <xdr:sp macro="" textlink="">
          <xdr:nvSpPr>
            <xdr:cNvPr id="32938" name="Check Box 170" hidden="1">
              <a:extLst>
                <a:ext uri="{63B3BB69-23CF-44E3-9099-C40C66FF867C}">
                  <a14:compatExt spid="_x0000_s32938"/>
                </a:ext>
                <a:ext uri="{FF2B5EF4-FFF2-40B4-BE49-F238E27FC236}">
                  <a16:creationId xmlns:a16="http://schemas.microsoft.com/office/drawing/2014/main" id="{00000000-0008-0000-0000-0000A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124</xdr:row>
          <xdr:rowOff>0</xdr:rowOff>
        </xdr:from>
        <xdr:to>
          <xdr:col>18</xdr:col>
          <xdr:colOff>0</xdr:colOff>
          <xdr:row>125</xdr:row>
          <xdr:rowOff>19050</xdr:rowOff>
        </xdr:to>
        <xdr:sp macro="" textlink="">
          <xdr:nvSpPr>
            <xdr:cNvPr id="32939" name="Check Box 171" hidden="1">
              <a:extLst>
                <a:ext uri="{63B3BB69-23CF-44E3-9099-C40C66FF867C}">
                  <a14:compatExt spid="_x0000_s32939"/>
                </a:ext>
                <a:ext uri="{FF2B5EF4-FFF2-40B4-BE49-F238E27FC236}">
                  <a16:creationId xmlns:a16="http://schemas.microsoft.com/office/drawing/2014/main" id="{00000000-0008-0000-0000-0000A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125</xdr:row>
          <xdr:rowOff>0</xdr:rowOff>
        </xdr:from>
        <xdr:to>
          <xdr:col>18</xdr:col>
          <xdr:colOff>0</xdr:colOff>
          <xdr:row>126</xdr:row>
          <xdr:rowOff>19050</xdr:rowOff>
        </xdr:to>
        <xdr:sp macro="" textlink="">
          <xdr:nvSpPr>
            <xdr:cNvPr id="32940" name="Check Box 172" hidden="1">
              <a:extLst>
                <a:ext uri="{63B3BB69-23CF-44E3-9099-C40C66FF867C}">
                  <a14:compatExt spid="_x0000_s32940"/>
                </a:ext>
                <a:ext uri="{FF2B5EF4-FFF2-40B4-BE49-F238E27FC236}">
                  <a16:creationId xmlns:a16="http://schemas.microsoft.com/office/drawing/2014/main" id="{00000000-0008-0000-0000-0000A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126</xdr:row>
          <xdr:rowOff>0</xdr:rowOff>
        </xdr:from>
        <xdr:to>
          <xdr:col>18</xdr:col>
          <xdr:colOff>0</xdr:colOff>
          <xdr:row>127</xdr:row>
          <xdr:rowOff>19050</xdr:rowOff>
        </xdr:to>
        <xdr:sp macro="" textlink="">
          <xdr:nvSpPr>
            <xdr:cNvPr id="32941" name="Check Box 173" hidden="1">
              <a:extLst>
                <a:ext uri="{63B3BB69-23CF-44E3-9099-C40C66FF867C}">
                  <a14:compatExt spid="_x0000_s32941"/>
                </a:ext>
                <a:ext uri="{FF2B5EF4-FFF2-40B4-BE49-F238E27FC236}">
                  <a16:creationId xmlns:a16="http://schemas.microsoft.com/office/drawing/2014/main" id="{00000000-0008-0000-0000-0000A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127</xdr:row>
          <xdr:rowOff>0</xdr:rowOff>
        </xdr:from>
        <xdr:to>
          <xdr:col>18</xdr:col>
          <xdr:colOff>0</xdr:colOff>
          <xdr:row>128</xdr:row>
          <xdr:rowOff>19050</xdr:rowOff>
        </xdr:to>
        <xdr:sp macro="" textlink="">
          <xdr:nvSpPr>
            <xdr:cNvPr id="32942" name="Check Box 174" hidden="1">
              <a:extLst>
                <a:ext uri="{63B3BB69-23CF-44E3-9099-C40C66FF867C}">
                  <a14:compatExt spid="_x0000_s32942"/>
                </a:ext>
                <a:ext uri="{FF2B5EF4-FFF2-40B4-BE49-F238E27FC236}">
                  <a16:creationId xmlns:a16="http://schemas.microsoft.com/office/drawing/2014/main" id="{00000000-0008-0000-0000-0000A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128</xdr:row>
          <xdr:rowOff>0</xdr:rowOff>
        </xdr:from>
        <xdr:to>
          <xdr:col>18</xdr:col>
          <xdr:colOff>0</xdr:colOff>
          <xdr:row>129</xdr:row>
          <xdr:rowOff>19050</xdr:rowOff>
        </xdr:to>
        <xdr:sp macro="" textlink="">
          <xdr:nvSpPr>
            <xdr:cNvPr id="32943" name="Check Box 175" hidden="1">
              <a:extLst>
                <a:ext uri="{63B3BB69-23CF-44E3-9099-C40C66FF867C}">
                  <a14:compatExt spid="_x0000_s32943"/>
                </a:ext>
                <a:ext uri="{FF2B5EF4-FFF2-40B4-BE49-F238E27FC236}">
                  <a16:creationId xmlns:a16="http://schemas.microsoft.com/office/drawing/2014/main" id="{00000000-0008-0000-0000-0000A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129</xdr:row>
          <xdr:rowOff>0</xdr:rowOff>
        </xdr:from>
        <xdr:to>
          <xdr:col>18</xdr:col>
          <xdr:colOff>0</xdr:colOff>
          <xdr:row>130</xdr:row>
          <xdr:rowOff>19050</xdr:rowOff>
        </xdr:to>
        <xdr:sp macro="" textlink="">
          <xdr:nvSpPr>
            <xdr:cNvPr id="32944" name="Check Box 176" hidden="1">
              <a:extLst>
                <a:ext uri="{63B3BB69-23CF-44E3-9099-C40C66FF867C}">
                  <a14:compatExt spid="_x0000_s32944"/>
                </a:ext>
                <a:ext uri="{FF2B5EF4-FFF2-40B4-BE49-F238E27FC236}">
                  <a16:creationId xmlns:a16="http://schemas.microsoft.com/office/drawing/2014/main" id="{00000000-0008-0000-0000-0000B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130</xdr:row>
          <xdr:rowOff>0</xdr:rowOff>
        </xdr:from>
        <xdr:to>
          <xdr:col>18</xdr:col>
          <xdr:colOff>0</xdr:colOff>
          <xdr:row>131</xdr:row>
          <xdr:rowOff>19050</xdr:rowOff>
        </xdr:to>
        <xdr:sp macro="" textlink="">
          <xdr:nvSpPr>
            <xdr:cNvPr id="32945" name="Check Box 177" hidden="1">
              <a:extLst>
                <a:ext uri="{63B3BB69-23CF-44E3-9099-C40C66FF867C}">
                  <a14:compatExt spid="_x0000_s32945"/>
                </a:ext>
                <a:ext uri="{FF2B5EF4-FFF2-40B4-BE49-F238E27FC236}">
                  <a16:creationId xmlns:a16="http://schemas.microsoft.com/office/drawing/2014/main" id="{00000000-0008-0000-0000-0000B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131</xdr:row>
          <xdr:rowOff>0</xdr:rowOff>
        </xdr:from>
        <xdr:to>
          <xdr:col>18</xdr:col>
          <xdr:colOff>0</xdr:colOff>
          <xdr:row>132</xdr:row>
          <xdr:rowOff>19050</xdr:rowOff>
        </xdr:to>
        <xdr:sp macro="" textlink="">
          <xdr:nvSpPr>
            <xdr:cNvPr id="32946" name="Check Box 178" hidden="1">
              <a:extLst>
                <a:ext uri="{63B3BB69-23CF-44E3-9099-C40C66FF867C}">
                  <a14:compatExt spid="_x0000_s32946"/>
                </a:ext>
                <a:ext uri="{FF2B5EF4-FFF2-40B4-BE49-F238E27FC236}">
                  <a16:creationId xmlns:a16="http://schemas.microsoft.com/office/drawing/2014/main" id="{00000000-0008-0000-0000-0000B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132</xdr:row>
          <xdr:rowOff>0</xdr:rowOff>
        </xdr:from>
        <xdr:to>
          <xdr:col>18</xdr:col>
          <xdr:colOff>0</xdr:colOff>
          <xdr:row>133</xdr:row>
          <xdr:rowOff>19050</xdr:rowOff>
        </xdr:to>
        <xdr:sp macro="" textlink="">
          <xdr:nvSpPr>
            <xdr:cNvPr id="32947" name="Check Box 179" hidden="1">
              <a:extLst>
                <a:ext uri="{63B3BB69-23CF-44E3-9099-C40C66FF867C}">
                  <a14:compatExt spid="_x0000_s32947"/>
                </a:ext>
                <a:ext uri="{FF2B5EF4-FFF2-40B4-BE49-F238E27FC236}">
                  <a16:creationId xmlns:a16="http://schemas.microsoft.com/office/drawing/2014/main" id="{00000000-0008-0000-0000-0000B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133</xdr:row>
          <xdr:rowOff>0</xdr:rowOff>
        </xdr:from>
        <xdr:to>
          <xdr:col>18</xdr:col>
          <xdr:colOff>0</xdr:colOff>
          <xdr:row>134</xdr:row>
          <xdr:rowOff>19050</xdr:rowOff>
        </xdr:to>
        <xdr:sp macro="" textlink="">
          <xdr:nvSpPr>
            <xdr:cNvPr id="32948" name="Check Box 180" hidden="1">
              <a:extLst>
                <a:ext uri="{63B3BB69-23CF-44E3-9099-C40C66FF867C}">
                  <a14:compatExt spid="_x0000_s32948"/>
                </a:ext>
                <a:ext uri="{FF2B5EF4-FFF2-40B4-BE49-F238E27FC236}">
                  <a16:creationId xmlns:a16="http://schemas.microsoft.com/office/drawing/2014/main" id="{00000000-0008-0000-0000-0000B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134</xdr:row>
          <xdr:rowOff>0</xdr:rowOff>
        </xdr:from>
        <xdr:to>
          <xdr:col>18</xdr:col>
          <xdr:colOff>0</xdr:colOff>
          <xdr:row>135</xdr:row>
          <xdr:rowOff>19050</xdr:rowOff>
        </xdr:to>
        <xdr:sp macro="" textlink="">
          <xdr:nvSpPr>
            <xdr:cNvPr id="32949" name="Check Box 181" hidden="1">
              <a:extLst>
                <a:ext uri="{63B3BB69-23CF-44E3-9099-C40C66FF867C}">
                  <a14:compatExt spid="_x0000_s32949"/>
                </a:ext>
                <a:ext uri="{FF2B5EF4-FFF2-40B4-BE49-F238E27FC236}">
                  <a16:creationId xmlns:a16="http://schemas.microsoft.com/office/drawing/2014/main" id="{00000000-0008-0000-0000-0000B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135</xdr:row>
          <xdr:rowOff>0</xdr:rowOff>
        </xdr:from>
        <xdr:to>
          <xdr:col>18</xdr:col>
          <xdr:colOff>0</xdr:colOff>
          <xdr:row>136</xdr:row>
          <xdr:rowOff>19050</xdr:rowOff>
        </xdr:to>
        <xdr:sp macro="" textlink="">
          <xdr:nvSpPr>
            <xdr:cNvPr id="32950" name="Check Box 182" hidden="1">
              <a:extLst>
                <a:ext uri="{63B3BB69-23CF-44E3-9099-C40C66FF867C}">
                  <a14:compatExt spid="_x0000_s32950"/>
                </a:ext>
                <a:ext uri="{FF2B5EF4-FFF2-40B4-BE49-F238E27FC236}">
                  <a16:creationId xmlns:a16="http://schemas.microsoft.com/office/drawing/2014/main" id="{00000000-0008-0000-0000-0000B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136</xdr:row>
          <xdr:rowOff>0</xdr:rowOff>
        </xdr:from>
        <xdr:to>
          <xdr:col>18</xdr:col>
          <xdr:colOff>0</xdr:colOff>
          <xdr:row>137</xdr:row>
          <xdr:rowOff>19050</xdr:rowOff>
        </xdr:to>
        <xdr:sp macro="" textlink="">
          <xdr:nvSpPr>
            <xdr:cNvPr id="32951" name="Check Box 183" hidden="1">
              <a:extLst>
                <a:ext uri="{63B3BB69-23CF-44E3-9099-C40C66FF867C}">
                  <a14:compatExt spid="_x0000_s32951"/>
                </a:ext>
                <a:ext uri="{FF2B5EF4-FFF2-40B4-BE49-F238E27FC236}">
                  <a16:creationId xmlns:a16="http://schemas.microsoft.com/office/drawing/2014/main" id="{00000000-0008-0000-0000-0000B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137</xdr:row>
          <xdr:rowOff>0</xdr:rowOff>
        </xdr:from>
        <xdr:to>
          <xdr:col>18</xdr:col>
          <xdr:colOff>0</xdr:colOff>
          <xdr:row>138</xdr:row>
          <xdr:rowOff>19050</xdr:rowOff>
        </xdr:to>
        <xdr:sp macro="" textlink="">
          <xdr:nvSpPr>
            <xdr:cNvPr id="32952" name="Check Box 184" hidden="1">
              <a:extLst>
                <a:ext uri="{63B3BB69-23CF-44E3-9099-C40C66FF867C}">
                  <a14:compatExt spid="_x0000_s32952"/>
                </a:ext>
                <a:ext uri="{FF2B5EF4-FFF2-40B4-BE49-F238E27FC236}">
                  <a16:creationId xmlns:a16="http://schemas.microsoft.com/office/drawing/2014/main" id="{00000000-0008-0000-0000-0000B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138</xdr:row>
          <xdr:rowOff>0</xdr:rowOff>
        </xdr:from>
        <xdr:to>
          <xdr:col>18</xdr:col>
          <xdr:colOff>0</xdr:colOff>
          <xdr:row>139</xdr:row>
          <xdr:rowOff>19050</xdr:rowOff>
        </xdr:to>
        <xdr:sp macro="" textlink="">
          <xdr:nvSpPr>
            <xdr:cNvPr id="32953" name="Check Box 185" hidden="1">
              <a:extLst>
                <a:ext uri="{63B3BB69-23CF-44E3-9099-C40C66FF867C}">
                  <a14:compatExt spid="_x0000_s32953"/>
                </a:ext>
                <a:ext uri="{FF2B5EF4-FFF2-40B4-BE49-F238E27FC236}">
                  <a16:creationId xmlns:a16="http://schemas.microsoft.com/office/drawing/2014/main" id="{00000000-0008-0000-0000-0000B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139</xdr:row>
          <xdr:rowOff>0</xdr:rowOff>
        </xdr:from>
        <xdr:to>
          <xdr:col>18</xdr:col>
          <xdr:colOff>0</xdr:colOff>
          <xdr:row>140</xdr:row>
          <xdr:rowOff>19050</xdr:rowOff>
        </xdr:to>
        <xdr:sp macro="" textlink="">
          <xdr:nvSpPr>
            <xdr:cNvPr id="32954" name="Check Box 186" hidden="1">
              <a:extLst>
                <a:ext uri="{63B3BB69-23CF-44E3-9099-C40C66FF867C}">
                  <a14:compatExt spid="_x0000_s32954"/>
                </a:ext>
                <a:ext uri="{FF2B5EF4-FFF2-40B4-BE49-F238E27FC236}">
                  <a16:creationId xmlns:a16="http://schemas.microsoft.com/office/drawing/2014/main" id="{00000000-0008-0000-0000-0000B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140</xdr:row>
          <xdr:rowOff>0</xdr:rowOff>
        </xdr:from>
        <xdr:to>
          <xdr:col>18</xdr:col>
          <xdr:colOff>0</xdr:colOff>
          <xdr:row>141</xdr:row>
          <xdr:rowOff>19050</xdr:rowOff>
        </xdr:to>
        <xdr:sp macro="" textlink="">
          <xdr:nvSpPr>
            <xdr:cNvPr id="32955" name="Check Box 187" hidden="1">
              <a:extLst>
                <a:ext uri="{63B3BB69-23CF-44E3-9099-C40C66FF867C}">
                  <a14:compatExt spid="_x0000_s32955"/>
                </a:ext>
                <a:ext uri="{FF2B5EF4-FFF2-40B4-BE49-F238E27FC236}">
                  <a16:creationId xmlns:a16="http://schemas.microsoft.com/office/drawing/2014/main" id="{00000000-0008-0000-0000-0000B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141</xdr:row>
          <xdr:rowOff>0</xdr:rowOff>
        </xdr:from>
        <xdr:to>
          <xdr:col>18</xdr:col>
          <xdr:colOff>0</xdr:colOff>
          <xdr:row>142</xdr:row>
          <xdr:rowOff>19050</xdr:rowOff>
        </xdr:to>
        <xdr:sp macro="" textlink="">
          <xdr:nvSpPr>
            <xdr:cNvPr id="32956" name="Check Box 188" hidden="1">
              <a:extLst>
                <a:ext uri="{63B3BB69-23CF-44E3-9099-C40C66FF867C}">
                  <a14:compatExt spid="_x0000_s32956"/>
                </a:ext>
                <a:ext uri="{FF2B5EF4-FFF2-40B4-BE49-F238E27FC236}">
                  <a16:creationId xmlns:a16="http://schemas.microsoft.com/office/drawing/2014/main" id="{00000000-0008-0000-0000-0000B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142</xdr:row>
          <xdr:rowOff>0</xdr:rowOff>
        </xdr:from>
        <xdr:to>
          <xdr:col>18</xdr:col>
          <xdr:colOff>0</xdr:colOff>
          <xdr:row>143</xdr:row>
          <xdr:rowOff>19050</xdr:rowOff>
        </xdr:to>
        <xdr:sp macro="" textlink="">
          <xdr:nvSpPr>
            <xdr:cNvPr id="32957" name="Check Box 189" hidden="1">
              <a:extLst>
                <a:ext uri="{63B3BB69-23CF-44E3-9099-C40C66FF867C}">
                  <a14:compatExt spid="_x0000_s32957"/>
                </a:ext>
                <a:ext uri="{FF2B5EF4-FFF2-40B4-BE49-F238E27FC236}">
                  <a16:creationId xmlns:a16="http://schemas.microsoft.com/office/drawing/2014/main" id="{00000000-0008-0000-0000-0000B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143</xdr:row>
          <xdr:rowOff>0</xdr:rowOff>
        </xdr:from>
        <xdr:to>
          <xdr:col>18</xdr:col>
          <xdr:colOff>0</xdr:colOff>
          <xdr:row>144</xdr:row>
          <xdr:rowOff>19050</xdr:rowOff>
        </xdr:to>
        <xdr:sp macro="" textlink="">
          <xdr:nvSpPr>
            <xdr:cNvPr id="32958" name="Check Box 190" hidden="1">
              <a:extLst>
                <a:ext uri="{63B3BB69-23CF-44E3-9099-C40C66FF867C}">
                  <a14:compatExt spid="_x0000_s32958"/>
                </a:ext>
                <a:ext uri="{FF2B5EF4-FFF2-40B4-BE49-F238E27FC236}">
                  <a16:creationId xmlns:a16="http://schemas.microsoft.com/office/drawing/2014/main" id="{00000000-0008-0000-0000-0000B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144</xdr:row>
          <xdr:rowOff>0</xdr:rowOff>
        </xdr:from>
        <xdr:to>
          <xdr:col>18</xdr:col>
          <xdr:colOff>0</xdr:colOff>
          <xdr:row>145</xdr:row>
          <xdr:rowOff>19050</xdr:rowOff>
        </xdr:to>
        <xdr:sp macro="" textlink="">
          <xdr:nvSpPr>
            <xdr:cNvPr id="32959" name="Check Box 191" hidden="1">
              <a:extLst>
                <a:ext uri="{63B3BB69-23CF-44E3-9099-C40C66FF867C}">
                  <a14:compatExt spid="_x0000_s32959"/>
                </a:ext>
                <a:ext uri="{FF2B5EF4-FFF2-40B4-BE49-F238E27FC236}">
                  <a16:creationId xmlns:a16="http://schemas.microsoft.com/office/drawing/2014/main" id="{00000000-0008-0000-0000-0000B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145</xdr:row>
          <xdr:rowOff>0</xdr:rowOff>
        </xdr:from>
        <xdr:to>
          <xdr:col>18</xdr:col>
          <xdr:colOff>0</xdr:colOff>
          <xdr:row>146</xdr:row>
          <xdr:rowOff>19050</xdr:rowOff>
        </xdr:to>
        <xdr:sp macro="" textlink="">
          <xdr:nvSpPr>
            <xdr:cNvPr id="32960" name="Check Box 192" hidden="1">
              <a:extLst>
                <a:ext uri="{63B3BB69-23CF-44E3-9099-C40C66FF867C}">
                  <a14:compatExt spid="_x0000_s32960"/>
                </a:ext>
                <a:ext uri="{FF2B5EF4-FFF2-40B4-BE49-F238E27FC236}">
                  <a16:creationId xmlns:a16="http://schemas.microsoft.com/office/drawing/2014/main" id="{00000000-0008-0000-0000-0000C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146</xdr:row>
          <xdr:rowOff>0</xdr:rowOff>
        </xdr:from>
        <xdr:to>
          <xdr:col>18</xdr:col>
          <xdr:colOff>0</xdr:colOff>
          <xdr:row>147</xdr:row>
          <xdr:rowOff>19050</xdr:rowOff>
        </xdr:to>
        <xdr:sp macro="" textlink="">
          <xdr:nvSpPr>
            <xdr:cNvPr id="32961" name="Check Box 193" hidden="1">
              <a:extLst>
                <a:ext uri="{63B3BB69-23CF-44E3-9099-C40C66FF867C}">
                  <a14:compatExt spid="_x0000_s32961"/>
                </a:ext>
                <a:ext uri="{FF2B5EF4-FFF2-40B4-BE49-F238E27FC236}">
                  <a16:creationId xmlns:a16="http://schemas.microsoft.com/office/drawing/2014/main" id="{00000000-0008-0000-0000-0000C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147</xdr:row>
          <xdr:rowOff>0</xdr:rowOff>
        </xdr:from>
        <xdr:to>
          <xdr:col>18</xdr:col>
          <xdr:colOff>0</xdr:colOff>
          <xdr:row>148</xdr:row>
          <xdr:rowOff>19050</xdr:rowOff>
        </xdr:to>
        <xdr:sp macro="" textlink="">
          <xdr:nvSpPr>
            <xdr:cNvPr id="32962" name="Check Box 194" hidden="1">
              <a:extLst>
                <a:ext uri="{63B3BB69-23CF-44E3-9099-C40C66FF867C}">
                  <a14:compatExt spid="_x0000_s32962"/>
                </a:ext>
                <a:ext uri="{FF2B5EF4-FFF2-40B4-BE49-F238E27FC236}">
                  <a16:creationId xmlns:a16="http://schemas.microsoft.com/office/drawing/2014/main" id="{00000000-0008-0000-0000-0000C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148</xdr:row>
          <xdr:rowOff>0</xdr:rowOff>
        </xdr:from>
        <xdr:to>
          <xdr:col>18</xdr:col>
          <xdr:colOff>0</xdr:colOff>
          <xdr:row>149</xdr:row>
          <xdr:rowOff>19050</xdr:rowOff>
        </xdr:to>
        <xdr:sp macro="" textlink="">
          <xdr:nvSpPr>
            <xdr:cNvPr id="32963" name="Check Box 195" hidden="1">
              <a:extLst>
                <a:ext uri="{63B3BB69-23CF-44E3-9099-C40C66FF867C}">
                  <a14:compatExt spid="_x0000_s32963"/>
                </a:ext>
                <a:ext uri="{FF2B5EF4-FFF2-40B4-BE49-F238E27FC236}">
                  <a16:creationId xmlns:a16="http://schemas.microsoft.com/office/drawing/2014/main" id="{00000000-0008-0000-0000-0000C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149</xdr:row>
          <xdr:rowOff>0</xdr:rowOff>
        </xdr:from>
        <xdr:to>
          <xdr:col>18</xdr:col>
          <xdr:colOff>0</xdr:colOff>
          <xdr:row>150</xdr:row>
          <xdr:rowOff>19050</xdr:rowOff>
        </xdr:to>
        <xdr:sp macro="" textlink="">
          <xdr:nvSpPr>
            <xdr:cNvPr id="32964" name="Check Box 196" hidden="1">
              <a:extLst>
                <a:ext uri="{63B3BB69-23CF-44E3-9099-C40C66FF867C}">
                  <a14:compatExt spid="_x0000_s32964"/>
                </a:ext>
                <a:ext uri="{FF2B5EF4-FFF2-40B4-BE49-F238E27FC236}">
                  <a16:creationId xmlns:a16="http://schemas.microsoft.com/office/drawing/2014/main" id="{00000000-0008-0000-0000-0000C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150</xdr:row>
          <xdr:rowOff>0</xdr:rowOff>
        </xdr:from>
        <xdr:to>
          <xdr:col>18</xdr:col>
          <xdr:colOff>0</xdr:colOff>
          <xdr:row>151</xdr:row>
          <xdr:rowOff>19050</xdr:rowOff>
        </xdr:to>
        <xdr:sp macro="" textlink="">
          <xdr:nvSpPr>
            <xdr:cNvPr id="32965" name="Check Box 197" hidden="1">
              <a:extLst>
                <a:ext uri="{63B3BB69-23CF-44E3-9099-C40C66FF867C}">
                  <a14:compatExt spid="_x0000_s32965"/>
                </a:ext>
                <a:ext uri="{FF2B5EF4-FFF2-40B4-BE49-F238E27FC236}">
                  <a16:creationId xmlns:a16="http://schemas.microsoft.com/office/drawing/2014/main" id="{00000000-0008-0000-0000-0000C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151</xdr:row>
          <xdr:rowOff>0</xdr:rowOff>
        </xdr:from>
        <xdr:to>
          <xdr:col>18</xdr:col>
          <xdr:colOff>0</xdr:colOff>
          <xdr:row>152</xdr:row>
          <xdr:rowOff>19050</xdr:rowOff>
        </xdr:to>
        <xdr:sp macro="" textlink="">
          <xdr:nvSpPr>
            <xdr:cNvPr id="32966" name="Check Box 198" hidden="1">
              <a:extLst>
                <a:ext uri="{63B3BB69-23CF-44E3-9099-C40C66FF867C}">
                  <a14:compatExt spid="_x0000_s32966"/>
                </a:ext>
                <a:ext uri="{FF2B5EF4-FFF2-40B4-BE49-F238E27FC236}">
                  <a16:creationId xmlns:a16="http://schemas.microsoft.com/office/drawing/2014/main" id="{00000000-0008-0000-0000-0000C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152</xdr:row>
          <xdr:rowOff>0</xdr:rowOff>
        </xdr:from>
        <xdr:to>
          <xdr:col>18</xdr:col>
          <xdr:colOff>0</xdr:colOff>
          <xdr:row>153</xdr:row>
          <xdr:rowOff>19050</xdr:rowOff>
        </xdr:to>
        <xdr:sp macro="" textlink="">
          <xdr:nvSpPr>
            <xdr:cNvPr id="32967" name="Check Box 199" hidden="1">
              <a:extLst>
                <a:ext uri="{63B3BB69-23CF-44E3-9099-C40C66FF867C}">
                  <a14:compatExt spid="_x0000_s32967"/>
                </a:ext>
                <a:ext uri="{FF2B5EF4-FFF2-40B4-BE49-F238E27FC236}">
                  <a16:creationId xmlns:a16="http://schemas.microsoft.com/office/drawing/2014/main" id="{00000000-0008-0000-0000-0000C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153</xdr:row>
          <xdr:rowOff>0</xdr:rowOff>
        </xdr:from>
        <xdr:to>
          <xdr:col>18</xdr:col>
          <xdr:colOff>0</xdr:colOff>
          <xdr:row>154</xdr:row>
          <xdr:rowOff>19050</xdr:rowOff>
        </xdr:to>
        <xdr:sp macro="" textlink="">
          <xdr:nvSpPr>
            <xdr:cNvPr id="32968" name="Check Box 200" hidden="1">
              <a:extLst>
                <a:ext uri="{63B3BB69-23CF-44E3-9099-C40C66FF867C}">
                  <a14:compatExt spid="_x0000_s32968"/>
                </a:ext>
                <a:ext uri="{FF2B5EF4-FFF2-40B4-BE49-F238E27FC236}">
                  <a16:creationId xmlns:a16="http://schemas.microsoft.com/office/drawing/2014/main" id="{00000000-0008-0000-0000-0000C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154</xdr:row>
          <xdr:rowOff>0</xdr:rowOff>
        </xdr:from>
        <xdr:to>
          <xdr:col>18</xdr:col>
          <xdr:colOff>0</xdr:colOff>
          <xdr:row>155</xdr:row>
          <xdr:rowOff>19050</xdr:rowOff>
        </xdr:to>
        <xdr:sp macro="" textlink="">
          <xdr:nvSpPr>
            <xdr:cNvPr id="32969" name="Check Box 201" hidden="1">
              <a:extLst>
                <a:ext uri="{63B3BB69-23CF-44E3-9099-C40C66FF867C}">
                  <a14:compatExt spid="_x0000_s32969"/>
                </a:ext>
                <a:ext uri="{FF2B5EF4-FFF2-40B4-BE49-F238E27FC236}">
                  <a16:creationId xmlns:a16="http://schemas.microsoft.com/office/drawing/2014/main" id="{00000000-0008-0000-0000-0000C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155</xdr:row>
          <xdr:rowOff>0</xdr:rowOff>
        </xdr:from>
        <xdr:to>
          <xdr:col>18</xdr:col>
          <xdr:colOff>0</xdr:colOff>
          <xdr:row>156</xdr:row>
          <xdr:rowOff>19050</xdr:rowOff>
        </xdr:to>
        <xdr:sp macro="" textlink="">
          <xdr:nvSpPr>
            <xdr:cNvPr id="32970" name="Check Box 202" hidden="1">
              <a:extLst>
                <a:ext uri="{63B3BB69-23CF-44E3-9099-C40C66FF867C}">
                  <a14:compatExt spid="_x0000_s32970"/>
                </a:ext>
                <a:ext uri="{FF2B5EF4-FFF2-40B4-BE49-F238E27FC236}">
                  <a16:creationId xmlns:a16="http://schemas.microsoft.com/office/drawing/2014/main" id="{00000000-0008-0000-0000-0000C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156</xdr:row>
          <xdr:rowOff>0</xdr:rowOff>
        </xdr:from>
        <xdr:to>
          <xdr:col>18</xdr:col>
          <xdr:colOff>0</xdr:colOff>
          <xdr:row>157</xdr:row>
          <xdr:rowOff>19050</xdr:rowOff>
        </xdr:to>
        <xdr:sp macro="" textlink="">
          <xdr:nvSpPr>
            <xdr:cNvPr id="32971" name="Check Box 203" hidden="1">
              <a:extLst>
                <a:ext uri="{63B3BB69-23CF-44E3-9099-C40C66FF867C}">
                  <a14:compatExt spid="_x0000_s32971"/>
                </a:ext>
                <a:ext uri="{FF2B5EF4-FFF2-40B4-BE49-F238E27FC236}">
                  <a16:creationId xmlns:a16="http://schemas.microsoft.com/office/drawing/2014/main" id="{00000000-0008-0000-0000-0000C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157</xdr:row>
          <xdr:rowOff>0</xdr:rowOff>
        </xdr:from>
        <xdr:to>
          <xdr:col>18</xdr:col>
          <xdr:colOff>0</xdr:colOff>
          <xdr:row>158</xdr:row>
          <xdr:rowOff>19050</xdr:rowOff>
        </xdr:to>
        <xdr:sp macro="" textlink="">
          <xdr:nvSpPr>
            <xdr:cNvPr id="32972" name="Check Box 204" hidden="1">
              <a:extLst>
                <a:ext uri="{63B3BB69-23CF-44E3-9099-C40C66FF867C}">
                  <a14:compatExt spid="_x0000_s32972"/>
                </a:ext>
                <a:ext uri="{FF2B5EF4-FFF2-40B4-BE49-F238E27FC236}">
                  <a16:creationId xmlns:a16="http://schemas.microsoft.com/office/drawing/2014/main" id="{00000000-0008-0000-0000-0000C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158</xdr:row>
          <xdr:rowOff>0</xdr:rowOff>
        </xdr:from>
        <xdr:to>
          <xdr:col>18</xdr:col>
          <xdr:colOff>0</xdr:colOff>
          <xdr:row>159</xdr:row>
          <xdr:rowOff>19050</xdr:rowOff>
        </xdr:to>
        <xdr:sp macro="" textlink="">
          <xdr:nvSpPr>
            <xdr:cNvPr id="32973" name="Check Box 205" hidden="1">
              <a:extLst>
                <a:ext uri="{63B3BB69-23CF-44E3-9099-C40C66FF867C}">
                  <a14:compatExt spid="_x0000_s32973"/>
                </a:ext>
                <a:ext uri="{FF2B5EF4-FFF2-40B4-BE49-F238E27FC236}">
                  <a16:creationId xmlns:a16="http://schemas.microsoft.com/office/drawing/2014/main" id="{00000000-0008-0000-0000-0000C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159</xdr:row>
          <xdr:rowOff>0</xdr:rowOff>
        </xdr:from>
        <xdr:to>
          <xdr:col>18</xdr:col>
          <xdr:colOff>0</xdr:colOff>
          <xdr:row>160</xdr:row>
          <xdr:rowOff>19050</xdr:rowOff>
        </xdr:to>
        <xdr:sp macro="" textlink="">
          <xdr:nvSpPr>
            <xdr:cNvPr id="32974" name="Check Box 206" hidden="1">
              <a:extLst>
                <a:ext uri="{63B3BB69-23CF-44E3-9099-C40C66FF867C}">
                  <a14:compatExt spid="_x0000_s32974"/>
                </a:ext>
                <a:ext uri="{FF2B5EF4-FFF2-40B4-BE49-F238E27FC236}">
                  <a16:creationId xmlns:a16="http://schemas.microsoft.com/office/drawing/2014/main" id="{00000000-0008-0000-0000-0000C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160</xdr:row>
          <xdr:rowOff>0</xdr:rowOff>
        </xdr:from>
        <xdr:to>
          <xdr:col>18</xdr:col>
          <xdr:colOff>0</xdr:colOff>
          <xdr:row>161</xdr:row>
          <xdr:rowOff>19050</xdr:rowOff>
        </xdr:to>
        <xdr:sp macro="" textlink="">
          <xdr:nvSpPr>
            <xdr:cNvPr id="32975" name="Check Box 207" hidden="1">
              <a:extLst>
                <a:ext uri="{63B3BB69-23CF-44E3-9099-C40C66FF867C}">
                  <a14:compatExt spid="_x0000_s32975"/>
                </a:ext>
                <a:ext uri="{FF2B5EF4-FFF2-40B4-BE49-F238E27FC236}">
                  <a16:creationId xmlns:a16="http://schemas.microsoft.com/office/drawing/2014/main" id="{00000000-0008-0000-0000-0000C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161</xdr:row>
          <xdr:rowOff>0</xdr:rowOff>
        </xdr:from>
        <xdr:to>
          <xdr:col>18</xdr:col>
          <xdr:colOff>0</xdr:colOff>
          <xdr:row>162</xdr:row>
          <xdr:rowOff>19050</xdr:rowOff>
        </xdr:to>
        <xdr:sp macro="" textlink="">
          <xdr:nvSpPr>
            <xdr:cNvPr id="32976" name="Check Box 208" hidden="1">
              <a:extLst>
                <a:ext uri="{63B3BB69-23CF-44E3-9099-C40C66FF867C}">
                  <a14:compatExt spid="_x0000_s32976"/>
                </a:ext>
                <a:ext uri="{FF2B5EF4-FFF2-40B4-BE49-F238E27FC236}">
                  <a16:creationId xmlns:a16="http://schemas.microsoft.com/office/drawing/2014/main" id="{00000000-0008-0000-0000-0000D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162</xdr:row>
          <xdr:rowOff>0</xdr:rowOff>
        </xdr:from>
        <xdr:to>
          <xdr:col>18</xdr:col>
          <xdr:colOff>0</xdr:colOff>
          <xdr:row>163</xdr:row>
          <xdr:rowOff>19050</xdr:rowOff>
        </xdr:to>
        <xdr:sp macro="" textlink="">
          <xdr:nvSpPr>
            <xdr:cNvPr id="32977" name="Check Box 209" hidden="1">
              <a:extLst>
                <a:ext uri="{63B3BB69-23CF-44E3-9099-C40C66FF867C}">
                  <a14:compatExt spid="_x0000_s32977"/>
                </a:ext>
                <a:ext uri="{FF2B5EF4-FFF2-40B4-BE49-F238E27FC236}">
                  <a16:creationId xmlns:a16="http://schemas.microsoft.com/office/drawing/2014/main" id="{00000000-0008-0000-0000-0000D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163</xdr:row>
          <xdr:rowOff>0</xdr:rowOff>
        </xdr:from>
        <xdr:to>
          <xdr:col>18</xdr:col>
          <xdr:colOff>0</xdr:colOff>
          <xdr:row>164</xdr:row>
          <xdr:rowOff>19050</xdr:rowOff>
        </xdr:to>
        <xdr:sp macro="" textlink="">
          <xdr:nvSpPr>
            <xdr:cNvPr id="32978" name="Check Box 210" hidden="1">
              <a:extLst>
                <a:ext uri="{63B3BB69-23CF-44E3-9099-C40C66FF867C}">
                  <a14:compatExt spid="_x0000_s32978"/>
                </a:ext>
                <a:ext uri="{FF2B5EF4-FFF2-40B4-BE49-F238E27FC236}">
                  <a16:creationId xmlns:a16="http://schemas.microsoft.com/office/drawing/2014/main" id="{00000000-0008-0000-0000-0000D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164</xdr:row>
          <xdr:rowOff>0</xdr:rowOff>
        </xdr:from>
        <xdr:to>
          <xdr:col>18</xdr:col>
          <xdr:colOff>0</xdr:colOff>
          <xdr:row>165</xdr:row>
          <xdr:rowOff>19050</xdr:rowOff>
        </xdr:to>
        <xdr:sp macro="" textlink="">
          <xdr:nvSpPr>
            <xdr:cNvPr id="32979" name="Check Box 211" hidden="1">
              <a:extLst>
                <a:ext uri="{63B3BB69-23CF-44E3-9099-C40C66FF867C}">
                  <a14:compatExt spid="_x0000_s32979"/>
                </a:ext>
                <a:ext uri="{FF2B5EF4-FFF2-40B4-BE49-F238E27FC236}">
                  <a16:creationId xmlns:a16="http://schemas.microsoft.com/office/drawing/2014/main" id="{00000000-0008-0000-0000-0000D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165</xdr:row>
          <xdr:rowOff>0</xdr:rowOff>
        </xdr:from>
        <xdr:to>
          <xdr:col>18</xdr:col>
          <xdr:colOff>0</xdr:colOff>
          <xdr:row>166</xdr:row>
          <xdr:rowOff>19050</xdr:rowOff>
        </xdr:to>
        <xdr:sp macro="" textlink="">
          <xdr:nvSpPr>
            <xdr:cNvPr id="32980" name="Check Box 212" hidden="1">
              <a:extLst>
                <a:ext uri="{63B3BB69-23CF-44E3-9099-C40C66FF867C}">
                  <a14:compatExt spid="_x0000_s32980"/>
                </a:ext>
                <a:ext uri="{FF2B5EF4-FFF2-40B4-BE49-F238E27FC236}">
                  <a16:creationId xmlns:a16="http://schemas.microsoft.com/office/drawing/2014/main" id="{00000000-0008-0000-0000-0000D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166</xdr:row>
          <xdr:rowOff>0</xdr:rowOff>
        </xdr:from>
        <xdr:to>
          <xdr:col>18</xdr:col>
          <xdr:colOff>0</xdr:colOff>
          <xdr:row>167</xdr:row>
          <xdr:rowOff>19050</xdr:rowOff>
        </xdr:to>
        <xdr:sp macro="" textlink="">
          <xdr:nvSpPr>
            <xdr:cNvPr id="32981" name="Check Box 213" hidden="1">
              <a:extLst>
                <a:ext uri="{63B3BB69-23CF-44E3-9099-C40C66FF867C}">
                  <a14:compatExt spid="_x0000_s32981"/>
                </a:ext>
                <a:ext uri="{FF2B5EF4-FFF2-40B4-BE49-F238E27FC236}">
                  <a16:creationId xmlns:a16="http://schemas.microsoft.com/office/drawing/2014/main" id="{00000000-0008-0000-0000-0000D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167</xdr:row>
          <xdr:rowOff>0</xdr:rowOff>
        </xdr:from>
        <xdr:to>
          <xdr:col>18</xdr:col>
          <xdr:colOff>0</xdr:colOff>
          <xdr:row>168</xdr:row>
          <xdr:rowOff>19050</xdr:rowOff>
        </xdr:to>
        <xdr:sp macro="" textlink="">
          <xdr:nvSpPr>
            <xdr:cNvPr id="32982" name="Check Box 214" hidden="1">
              <a:extLst>
                <a:ext uri="{63B3BB69-23CF-44E3-9099-C40C66FF867C}">
                  <a14:compatExt spid="_x0000_s32982"/>
                </a:ext>
                <a:ext uri="{FF2B5EF4-FFF2-40B4-BE49-F238E27FC236}">
                  <a16:creationId xmlns:a16="http://schemas.microsoft.com/office/drawing/2014/main" id="{00000000-0008-0000-0000-0000D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168</xdr:row>
          <xdr:rowOff>0</xdr:rowOff>
        </xdr:from>
        <xdr:to>
          <xdr:col>18</xdr:col>
          <xdr:colOff>0</xdr:colOff>
          <xdr:row>169</xdr:row>
          <xdr:rowOff>19050</xdr:rowOff>
        </xdr:to>
        <xdr:sp macro="" textlink="">
          <xdr:nvSpPr>
            <xdr:cNvPr id="32983" name="Check Box 215" hidden="1">
              <a:extLst>
                <a:ext uri="{63B3BB69-23CF-44E3-9099-C40C66FF867C}">
                  <a14:compatExt spid="_x0000_s32983"/>
                </a:ext>
                <a:ext uri="{FF2B5EF4-FFF2-40B4-BE49-F238E27FC236}">
                  <a16:creationId xmlns:a16="http://schemas.microsoft.com/office/drawing/2014/main" id="{00000000-0008-0000-0000-0000D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169</xdr:row>
          <xdr:rowOff>0</xdr:rowOff>
        </xdr:from>
        <xdr:to>
          <xdr:col>18</xdr:col>
          <xdr:colOff>0</xdr:colOff>
          <xdr:row>170</xdr:row>
          <xdr:rowOff>19050</xdr:rowOff>
        </xdr:to>
        <xdr:sp macro="" textlink="">
          <xdr:nvSpPr>
            <xdr:cNvPr id="32984" name="Check Box 216" hidden="1">
              <a:extLst>
                <a:ext uri="{63B3BB69-23CF-44E3-9099-C40C66FF867C}">
                  <a14:compatExt spid="_x0000_s32984"/>
                </a:ext>
                <a:ext uri="{FF2B5EF4-FFF2-40B4-BE49-F238E27FC236}">
                  <a16:creationId xmlns:a16="http://schemas.microsoft.com/office/drawing/2014/main" id="{00000000-0008-0000-0000-0000D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170</xdr:row>
          <xdr:rowOff>0</xdr:rowOff>
        </xdr:from>
        <xdr:to>
          <xdr:col>18</xdr:col>
          <xdr:colOff>0</xdr:colOff>
          <xdr:row>171</xdr:row>
          <xdr:rowOff>19050</xdr:rowOff>
        </xdr:to>
        <xdr:sp macro="" textlink="">
          <xdr:nvSpPr>
            <xdr:cNvPr id="32985" name="Check Box 217" hidden="1">
              <a:extLst>
                <a:ext uri="{63B3BB69-23CF-44E3-9099-C40C66FF867C}">
                  <a14:compatExt spid="_x0000_s32985"/>
                </a:ext>
                <a:ext uri="{FF2B5EF4-FFF2-40B4-BE49-F238E27FC236}">
                  <a16:creationId xmlns:a16="http://schemas.microsoft.com/office/drawing/2014/main" id="{00000000-0008-0000-0000-0000D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171</xdr:row>
          <xdr:rowOff>0</xdr:rowOff>
        </xdr:from>
        <xdr:to>
          <xdr:col>18</xdr:col>
          <xdr:colOff>0</xdr:colOff>
          <xdr:row>172</xdr:row>
          <xdr:rowOff>19050</xdr:rowOff>
        </xdr:to>
        <xdr:sp macro="" textlink="">
          <xdr:nvSpPr>
            <xdr:cNvPr id="32986" name="Check Box 218" hidden="1">
              <a:extLst>
                <a:ext uri="{63B3BB69-23CF-44E3-9099-C40C66FF867C}">
                  <a14:compatExt spid="_x0000_s32986"/>
                </a:ext>
                <a:ext uri="{FF2B5EF4-FFF2-40B4-BE49-F238E27FC236}">
                  <a16:creationId xmlns:a16="http://schemas.microsoft.com/office/drawing/2014/main" id="{00000000-0008-0000-0000-0000D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172</xdr:row>
          <xdr:rowOff>0</xdr:rowOff>
        </xdr:from>
        <xdr:to>
          <xdr:col>18</xdr:col>
          <xdr:colOff>0</xdr:colOff>
          <xdr:row>173</xdr:row>
          <xdr:rowOff>19050</xdr:rowOff>
        </xdr:to>
        <xdr:sp macro="" textlink="">
          <xdr:nvSpPr>
            <xdr:cNvPr id="32987" name="Check Box 219" hidden="1">
              <a:extLst>
                <a:ext uri="{63B3BB69-23CF-44E3-9099-C40C66FF867C}">
                  <a14:compatExt spid="_x0000_s32987"/>
                </a:ext>
                <a:ext uri="{FF2B5EF4-FFF2-40B4-BE49-F238E27FC236}">
                  <a16:creationId xmlns:a16="http://schemas.microsoft.com/office/drawing/2014/main" id="{00000000-0008-0000-0000-0000D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173</xdr:row>
          <xdr:rowOff>0</xdr:rowOff>
        </xdr:from>
        <xdr:to>
          <xdr:col>18</xdr:col>
          <xdr:colOff>0</xdr:colOff>
          <xdr:row>174</xdr:row>
          <xdr:rowOff>19050</xdr:rowOff>
        </xdr:to>
        <xdr:sp macro="" textlink="">
          <xdr:nvSpPr>
            <xdr:cNvPr id="32988" name="Check Box 220" hidden="1">
              <a:extLst>
                <a:ext uri="{63B3BB69-23CF-44E3-9099-C40C66FF867C}">
                  <a14:compatExt spid="_x0000_s32988"/>
                </a:ext>
                <a:ext uri="{FF2B5EF4-FFF2-40B4-BE49-F238E27FC236}">
                  <a16:creationId xmlns:a16="http://schemas.microsoft.com/office/drawing/2014/main" id="{00000000-0008-0000-0000-0000D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174</xdr:row>
          <xdr:rowOff>0</xdr:rowOff>
        </xdr:from>
        <xdr:to>
          <xdr:col>18</xdr:col>
          <xdr:colOff>0</xdr:colOff>
          <xdr:row>175</xdr:row>
          <xdr:rowOff>19050</xdr:rowOff>
        </xdr:to>
        <xdr:sp macro="" textlink="">
          <xdr:nvSpPr>
            <xdr:cNvPr id="32989" name="Check Box 221" hidden="1">
              <a:extLst>
                <a:ext uri="{63B3BB69-23CF-44E3-9099-C40C66FF867C}">
                  <a14:compatExt spid="_x0000_s32989"/>
                </a:ext>
                <a:ext uri="{FF2B5EF4-FFF2-40B4-BE49-F238E27FC236}">
                  <a16:creationId xmlns:a16="http://schemas.microsoft.com/office/drawing/2014/main" id="{00000000-0008-0000-0000-0000D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175</xdr:row>
          <xdr:rowOff>0</xdr:rowOff>
        </xdr:from>
        <xdr:to>
          <xdr:col>18</xdr:col>
          <xdr:colOff>0</xdr:colOff>
          <xdr:row>176</xdr:row>
          <xdr:rowOff>19050</xdr:rowOff>
        </xdr:to>
        <xdr:sp macro="" textlink="">
          <xdr:nvSpPr>
            <xdr:cNvPr id="32990" name="Check Box 222" hidden="1">
              <a:extLst>
                <a:ext uri="{63B3BB69-23CF-44E3-9099-C40C66FF867C}">
                  <a14:compatExt spid="_x0000_s32990"/>
                </a:ext>
                <a:ext uri="{FF2B5EF4-FFF2-40B4-BE49-F238E27FC236}">
                  <a16:creationId xmlns:a16="http://schemas.microsoft.com/office/drawing/2014/main" id="{00000000-0008-0000-0000-0000D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176</xdr:row>
          <xdr:rowOff>0</xdr:rowOff>
        </xdr:from>
        <xdr:to>
          <xdr:col>18</xdr:col>
          <xdr:colOff>0</xdr:colOff>
          <xdr:row>177</xdr:row>
          <xdr:rowOff>19050</xdr:rowOff>
        </xdr:to>
        <xdr:sp macro="" textlink="">
          <xdr:nvSpPr>
            <xdr:cNvPr id="32991" name="Check Box 223" hidden="1">
              <a:extLst>
                <a:ext uri="{63B3BB69-23CF-44E3-9099-C40C66FF867C}">
                  <a14:compatExt spid="_x0000_s32991"/>
                </a:ext>
                <a:ext uri="{FF2B5EF4-FFF2-40B4-BE49-F238E27FC236}">
                  <a16:creationId xmlns:a16="http://schemas.microsoft.com/office/drawing/2014/main" id="{00000000-0008-0000-0000-0000D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177</xdr:row>
          <xdr:rowOff>0</xdr:rowOff>
        </xdr:from>
        <xdr:to>
          <xdr:col>18</xdr:col>
          <xdr:colOff>0</xdr:colOff>
          <xdr:row>178</xdr:row>
          <xdr:rowOff>19050</xdr:rowOff>
        </xdr:to>
        <xdr:sp macro="" textlink="">
          <xdr:nvSpPr>
            <xdr:cNvPr id="32992" name="Check Box 224" hidden="1">
              <a:extLst>
                <a:ext uri="{63B3BB69-23CF-44E3-9099-C40C66FF867C}">
                  <a14:compatExt spid="_x0000_s32992"/>
                </a:ext>
                <a:ext uri="{FF2B5EF4-FFF2-40B4-BE49-F238E27FC236}">
                  <a16:creationId xmlns:a16="http://schemas.microsoft.com/office/drawing/2014/main" id="{00000000-0008-0000-0000-0000E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178</xdr:row>
          <xdr:rowOff>0</xdr:rowOff>
        </xdr:from>
        <xdr:to>
          <xdr:col>18</xdr:col>
          <xdr:colOff>0</xdr:colOff>
          <xdr:row>179</xdr:row>
          <xdr:rowOff>19050</xdr:rowOff>
        </xdr:to>
        <xdr:sp macro="" textlink="">
          <xdr:nvSpPr>
            <xdr:cNvPr id="32993" name="Check Box 225" hidden="1">
              <a:extLst>
                <a:ext uri="{63B3BB69-23CF-44E3-9099-C40C66FF867C}">
                  <a14:compatExt spid="_x0000_s32993"/>
                </a:ext>
                <a:ext uri="{FF2B5EF4-FFF2-40B4-BE49-F238E27FC236}">
                  <a16:creationId xmlns:a16="http://schemas.microsoft.com/office/drawing/2014/main" id="{00000000-0008-0000-0000-0000E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179</xdr:row>
          <xdr:rowOff>0</xdr:rowOff>
        </xdr:from>
        <xdr:to>
          <xdr:col>18</xdr:col>
          <xdr:colOff>0</xdr:colOff>
          <xdr:row>180</xdr:row>
          <xdr:rowOff>19050</xdr:rowOff>
        </xdr:to>
        <xdr:sp macro="" textlink="">
          <xdr:nvSpPr>
            <xdr:cNvPr id="32994" name="Check Box 226" hidden="1">
              <a:extLst>
                <a:ext uri="{63B3BB69-23CF-44E3-9099-C40C66FF867C}">
                  <a14:compatExt spid="_x0000_s32994"/>
                </a:ext>
                <a:ext uri="{FF2B5EF4-FFF2-40B4-BE49-F238E27FC236}">
                  <a16:creationId xmlns:a16="http://schemas.microsoft.com/office/drawing/2014/main" id="{00000000-0008-0000-0000-0000E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180</xdr:row>
          <xdr:rowOff>0</xdr:rowOff>
        </xdr:from>
        <xdr:to>
          <xdr:col>18</xdr:col>
          <xdr:colOff>0</xdr:colOff>
          <xdr:row>181</xdr:row>
          <xdr:rowOff>19050</xdr:rowOff>
        </xdr:to>
        <xdr:sp macro="" textlink="">
          <xdr:nvSpPr>
            <xdr:cNvPr id="32995" name="Check Box 227" hidden="1">
              <a:extLst>
                <a:ext uri="{63B3BB69-23CF-44E3-9099-C40C66FF867C}">
                  <a14:compatExt spid="_x0000_s32995"/>
                </a:ext>
                <a:ext uri="{FF2B5EF4-FFF2-40B4-BE49-F238E27FC236}">
                  <a16:creationId xmlns:a16="http://schemas.microsoft.com/office/drawing/2014/main" id="{00000000-0008-0000-0000-0000E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181</xdr:row>
          <xdr:rowOff>0</xdr:rowOff>
        </xdr:from>
        <xdr:to>
          <xdr:col>18</xdr:col>
          <xdr:colOff>0</xdr:colOff>
          <xdr:row>182</xdr:row>
          <xdr:rowOff>19050</xdr:rowOff>
        </xdr:to>
        <xdr:sp macro="" textlink="">
          <xdr:nvSpPr>
            <xdr:cNvPr id="32996" name="Check Box 228" hidden="1">
              <a:extLst>
                <a:ext uri="{63B3BB69-23CF-44E3-9099-C40C66FF867C}">
                  <a14:compatExt spid="_x0000_s32996"/>
                </a:ext>
                <a:ext uri="{FF2B5EF4-FFF2-40B4-BE49-F238E27FC236}">
                  <a16:creationId xmlns:a16="http://schemas.microsoft.com/office/drawing/2014/main" id="{00000000-0008-0000-0000-0000E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182</xdr:row>
          <xdr:rowOff>0</xdr:rowOff>
        </xdr:from>
        <xdr:to>
          <xdr:col>18</xdr:col>
          <xdr:colOff>0</xdr:colOff>
          <xdr:row>183</xdr:row>
          <xdr:rowOff>19050</xdr:rowOff>
        </xdr:to>
        <xdr:sp macro="" textlink="">
          <xdr:nvSpPr>
            <xdr:cNvPr id="32997" name="Check Box 229" hidden="1">
              <a:extLst>
                <a:ext uri="{63B3BB69-23CF-44E3-9099-C40C66FF867C}">
                  <a14:compatExt spid="_x0000_s32997"/>
                </a:ext>
                <a:ext uri="{FF2B5EF4-FFF2-40B4-BE49-F238E27FC236}">
                  <a16:creationId xmlns:a16="http://schemas.microsoft.com/office/drawing/2014/main" id="{00000000-0008-0000-0000-0000E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183</xdr:row>
          <xdr:rowOff>0</xdr:rowOff>
        </xdr:from>
        <xdr:to>
          <xdr:col>18</xdr:col>
          <xdr:colOff>0</xdr:colOff>
          <xdr:row>184</xdr:row>
          <xdr:rowOff>19050</xdr:rowOff>
        </xdr:to>
        <xdr:sp macro="" textlink="">
          <xdr:nvSpPr>
            <xdr:cNvPr id="32998" name="Check Box 230" hidden="1">
              <a:extLst>
                <a:ext uri="{63B3BB69-23CF-44E3-9099-C40C66FF867C}">
                  <a14:compatExt spid="_x0000_s32998"/>
                </a:ext>
                <a:ext uri="{FF2B5EF4-FFF2-40B4-BE49-F238E27FC236}">
                  <a16:creationId xmlns:a16="http://schemas.microsoft.com/office/drawing/2014/main" id="{00000000-0008-0000-0000-0000E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184</xdr:row>
          <xdr:rowOff>0</xdr:rowOff>
        </xdr:from>
        <xdr:to>
          <xdr:col>18</xdr:col>
          <xdr:colOff>0</xdr:colOff>
          <xdr:row>185</xdr:row>
          <xdr:rowOff>19050</xdr:rowOff>
        </xdr:to>
        <xdr:sp macro="" textlink="">
          <xdr:nvSpPr>
            <xdr:cNvPr id="32999" name="Check Box 231" hidden="1">
              <a:extLst>
                <a:ext uri="{63B3BB69-23CF-44E3-9099-C40C66FF867C}">
                  <a14:compatExt spid="_x0000_s32999"/>
                </a:ext>
                <a:ext uri="{FF2B5EF4-FFF2-40B4-BE49-F238E27FC236}">
                  <a16:creationId xmlns:a16="http://schemas.microsoft.com/office/drawing/2014/main" id="{00000000-0008-0000-0000-0000E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185</xdr:row>
          <xdr:rowOff>0</xdr:rowOff>
        </xdr:from>
        <xdr:to>
          <xdr:col>18</xdr:col>
          <xdr:colOff>0</xdr:colOff>
          <xdr:row>186</xdr:row>
          <xdr:rowOff>19050</xdr:rowOff>
        </xdr:to>
        <xdr:sp macro="" textlink="">
          <xdr:nvSpPr>
            <xdr:cNvPr id="33000" name="Check Box 232" hidden="1">
              <a:extLst>
                <a:ext uri="{63B3BB69-23CF-44E3-9099-C40C66FF867C}">
                  <a14:compatExt spid="_x0000_s33000"/>
                </a:ext>
                <a:ext uri="{FF2B5EF4-FFF2-40B4-BE49-F238E27FC236}">
                  <a16:creationId xmlns:a16="http://schemas.microsoft.com/office/drawing/2014/main" id="{00000000-0008-0000-0000-0000E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186</xdr:row>
          <xdr:rowOff>0</xdr:rowOff>
        </xdr:from>
        <xdr:to>
          <xdr:col>18</xdr:col>
          <xdr:colOff>0</xdr:colOff>
          <xdr:row>187</xdr:row>
          <xdr:rowOff>19050</xdr:rowOff>
        </xdr:to>
        <xdr:sp macro="" textlink="">
          <xdr:nvSpPr>
            <xdr:cNvPr id="33001" name="Check Box 233" hidden="1">
              <a:extLst>
                <a:ext uri="{63B3BB69-23CF-44E3-9099-C40C66FF867C}">
                  <a14:compatExt spid="_x0000_s33001"/>
                </a:ext>
                <a:ext uri="{FF2B5EF4-FFF2-40B4-BE49-F238E27FC236}">
                  <a16:creationId xmlns:a16="http://schemas.microsoft.com/office/drawing/2014/main" id="{00000000-0008-0000-0000-0000E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187</xdr:row>
          <xdr:rowOff>0</xdr:rowOff>
        </xdr:from>
        <xdr:to>
          <xdr:col>18</xdr:col>
          <xdr:colOff>0</xdr:colOff>
          <xdr:row>188</xdr:row>
          <xdr:rowOff>19050</xdr:rowOff>
        </xdr:to>
        <xdr:sp macro="" textlink="">
          <xdr:nvSpPr>
            <xdr:cNvPr id="33002" name="Check Box 234" hidden="1">
              <a:extLst>
                <a:ext uri="{63B3BB69-23CF-44E3-9099-C40C66FF867C}">
                  <a14:compatExt spid="_x0000_s33002"/>
                </a:ext>
                <a:ext uri="{FF2B5EF4-FFF2-40B4-BE49-F238E27FC236}">
                  <a16:creationId xmlns:a16="http://schemas.microsoft.com/office/drawing/2014/main" id="{00000000-0008-0000-0000-0000E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188</xdr:row>
          <xdr:rowOff>0</xdr:rowOff>
        </xdr:from>
        <xdr:to>
          <xdr:col>18</xdr:col>
          <xdr:colOff>0</xdr:colOff>
          <xdr:row>189</xdr:row>
          <xdr:rowOff>19050</xdr:rowOff>
        </xdr:to>
        <xdr:sp macro="" textlink="">
          <xdr:nvSpPr>
            <xdr:cNvPr id="33003" name="Check Box 235" hidden="1">
              <a:extLst>
                <a:ext uri="{63B3BB69-23CF-44E3-9099-C40C66FF867C}">
                  <a14:compatExt spid="_x0000_s33003"/>
                </a:ext>
                <a:ext uri="{FF2B5EF4-FFF2-40B4-BE49-F238E27FC236}">
                  <a16:creationId xmlns:a16="http://schemas.microsoft.com/office/drawing/2014/main" id="{00000000-0008-0000-0000-0000E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189</xdr:row>
          <xdr:rowOff>0</xdr:rowOff>
        </xdr:from>
        <xdr:to>
          <xdr:col>18</xdr:col>
          <xdr:colOff>0</xdr:colOff>
          <xdr:row>190</xdr:row>
          <xdr:rowOff>19050</xdr:rowOff>
        </xdr:to>
        <xdr:sp macro="" textlink="">
          <xdr:nvSpPr>
            <xdr:cNvPr id="33004" name="Check Box 236" hidden="1">
              <a:extLst>
                <a:ext uri="{63B3BB69-23CF-44E3-9099-C40C66FF867C}">
                  <a14:compatExt spid="_x0000_s33004"/>
                </a:ext>
                <a:ext uri="{FF2B5EF4-FFF2-40B4-BE49-F238E27FC236}">
                  <a16:creationId xmlns:a16="http://schemas.microsoft.com/office/drawing/2014/main" id="{00000000-0008-0000-0000-0000E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190</xdr:row>
          <xdr:rowOff>0</xdr:rowOff>
        </xdr:from>
        <xdr:to>
          <xdr:col>18</xdr:col>
          <xdr:colOff>0</xdr:colOff>
          <xdr:row>191</xdr:row>
          <xdr:rowOff>19050</xdr:rowOff>
        </xdr:to>
        <xdr:sp macro="" textlink="">
          <xdr:nvSpPr>
            <xdr:cNvPr id="33005" name="Check Box 237" hidden="1">
              <a:extLst>
                <a:ext uri="{63B3BB69-23CF-44E3-9099-C40C66FF867C}">
                  <a14:compatExt spid="_x0000_s33005"/>
                </a:ext>
                <a:ext uri="{FF2B5EF4-FFF2-40B4-BE49-F238E27FC236}">
                  <a16:creationId xmlns:a16="http://schemas.microsoft.com/office/drawing/2014/main" id="{00000000-0008-0000-0000-0000E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191</xdr:row>
          <xdr:rowOff>0</xdr:rowOff>
        </xdr:from>
        <xdr:to>
          <xdr:col>18</xdr:col>
          <xdr:colOff>0</xdr:colOff>
          <xdr:row>192</xdr:row>
          <xdr:rowOff>19050</xdr:rowOff>
        </xdr:to>
        <xdr:sp macro="" textlink="">
          <xdr:nvSpPr>
            <xdr:cNvPr id="33006" name="Check Box 238" hidden="1">
              <a:extLst>
                <a:ext uri="{63B3BB69-23CF-44E3-9099-C40C66FF867C}">
                  <a14:compatExt spid="_x0000_s33006"/>
                </a:ext>
                <a:ext uri="{FF2B5EF4-FFF2-40B4-BE49-F238E27FC236}">
                  <a16:creationId xmlns:a16="http://schemas.microsoft.com/office/drawing/2014/main" id="{00000000-0008-0000-0000-0000E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192</xdr:row>
          <xdr:rowOff>0</xdr:rowOff>
        </xdr:from>
        <xdr:to>
          <xdr:col>18</xdr:col>
          <xdr:colOff>0</xdr:colOff>
          <xdr:row>193</xdr:row>
          <xdr:rowOff>19050</xdr:rowOff>
        </xdr:to>
        <xdr:sp macro="" textlink="">
          <xdr:nvSpPr>
            <xdr:cNvPr id="33007" name="Check Box 239" hidden="1">
              <a:extLst>
                <a:ext uri="{63B3BB69-23CF-44E3-9099-C40C66FF867C}">
                  <a14:compatExt spid="_x0000_s33007"/>
                </a:ext>
                <a:ext uri="{FF2B5EF4-FFF2-40B4-BE49-F238E27FC236}">
                  <a16:creationId xmlns:a16="http://schemas.microsoft.com/office/drawing/2014/main" id="{00000000-0008-0000-0000-0000E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193</xdr:row>
          <xdr:rowOff>0</xdr:rowOff>
        </xdr:from>
        <xdr:to>
          <xdr:col>18</xdr:col>
          <xdr:colOff>0</xdr:colOff>
          <xdr:row>194</xdr:row>
          <xdr:rowOff>19050</xdr:rowOff>
        </xdr:to>
        <xdr:sp macro="" textlink="">
          <xdr:nvSpPr>
            <xdr:cNvPr id="33008" name="Check Box 240" hidden="1">
              <a:extLst>
                <a:ext uri="{63B3BB69-23CF-44E3-9099-C40C66FF867C}">
                  <a14:compatExt spid="_x0000_s33008"/>
                </a:ext>
                <a:ext uri="{FF2B5EF4-FFF2-40B4-BE49-F238E27FC236}">
                  <a16:creationId xmlns:a16="http://schemas.microsoft.com/office/drawing/2014/main" id="{00000000-0008-0000-0000-0000F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194</xdr:row>
          <xdr:rowOff>0</xdr:rowOff>
        </xdr:from>
        <xdr:to>
          <xdr:col>18</xdr:col>
          <xdr:colOff>0</xdr:colOff>
          <xdr:row>195</xdr:row>
          <xdr:rowOff>19050</xdr:rowOff>
        </xdr:to>
        <xdr:sp macro="" textlink="">
          <xdr:nvSpPr>
            <xdr:cNvPr id="33009" name="Check Box 241" hidden="1">
              <a:extLst>
                <a:ext uri="{63B3BB69-23CF-44E3-9099-C40C66FF867C}">
                  <a14:compatExt spid="_x0000_s33009"/>
                </a:ext>
                <a:ext uri="{FF2B5EF4-FFF2-40B4-BE49-F238E27FC236}">
                  <a16:creationId xmlns:a16="http://schemas.microsoft.com/office/drawing/2014/main" id="{00000000-0008-0000-0000-0000F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195</xdr:row>
          <xdr:rowOff>0</xdr:rowOff>
        </xdr:from>
        <xdr:to>
          <xdr:col>18</xdr:col>
          <xdr:colOff>0</xdr:colOff>
          <xdr:row>196</xdr:row>
          <xdr:rowOff>19050</xdr:rowOff>
        </xdr:to>
        <xdr:sp macro="" textlink="">
          <xdr:nvSpPr>
            <xdr:cNvPr id="33010" name="Check Box 242" hidden="1">
              <a:extLst>
                <a:ext uri="{63B3BB69-23CF-44E3-9099-C40C66FF867C}">
                  <a14:compatExt spid="_x0000_s33010"/>
                </a:ext>
                <a:ext uri="{FF2B5EF4-FFF2-40B4-BE49-F238E27FC236}">
                  <a16:creationId xmlns:a16="http://schemas.microsoft.com/office/drawing/2014/main" id="{00000000-0008-0000-0000-0000F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196</xdr:row>
          <xdr:rowOff>0</xdr:rowOff>
        </xdr:from>
        <xdr:to>
          <xdr:col>18</xdr:col>
          <xdr:colOff>0</xdr:colOff>
          <xdr:row>197</xdr:row>
          <xdr:rowOff>19050</xdr:rowOff>
        </xdr:to>
        <xdr:sp macro="" textlink="">
          <xdr:nvSpPr>
            <xdr:cNvPr id="33011" name="Check Box 243" hidden="1">
              <a:extLst>
                <a:ext uri="{63B3BB69-23CF-44E3-9099-C40C66FF867C}">
                  <a14:compatExt spid="_x0000_s33011"/>
                </a:ext>
                <a:ext uri="{FF2B5EF4-FFF2-40B4-BE49-F238E27FC236}">
                  <a16:creationId xmlns:a16="http://schemas.microsoft.com/office/drawing/2014/main" id="{00000000-0008-0000-0000-0000F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197</xdr:row>
          <xdr:rowOff>0</xdr:rowOff>
        </xdr:from>
        <xdr:to>
          <xdr:col>18</xdr:col>
          <xdr:colOff>0</xdr:colOff>
          <xdr:row>198</xdr:row>
          <xdr:rowOff>19050</xdr:rowOff>
        </xdr:to>
        <xdr:sp macro="" textlink="">
          <xdr:nvSpPr>
            <xdr:cNvPr id="33012" name="Check Box 244" hidden="1">
              <a:extLst>
                <a:ext uri="{63B3BB69-23CF-44E3-9099-C40C66FF867C}">
                  <a14:compatExt spid="_x0000_s33012"/>
                </a:ext>
                <a:ext uri="{FF2B5EF4-FFF2-40B4-BE49-F238E27FC236}">
                  <a16:creationId xmlns:a16="http://schemas.microsoft.com/office/drawing/2014/main" id="{00000000-0008-0000-0000-0000F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198</xdr:row>
          <xdr:rowOff>0</xdr:rowOff>
        </xdr:from>
        <xdr:to>
          <xdr:col>18</xdr:col>
          <xdr:colOff>0</xdr:colOff>
          <xdr:row>199</xdr:row>
          <xdr:rowOff>19050</xdr:rowOff>
        </xdr:to>
        <xdr:sp macro="" textlink="">
          <xdr:nvSpPr>
            <xdr:cNvPr id="33013" name="Check Box 245" hidden="1">
              <a:extLst>
                <a:ext uri="{63B3BB69-23CF-44E3-9099-C40C66FF867C}">
                  <a14:compatExt spid="_x0000_s33013"/>
                </a:ext>
                <a:ext uri="{FF2B5EF4-FFF2-40B4-BE49-F238E27FC236}">
                  <a16:creationId xmlns:a16="http://schemas.microsoft.com/office/drawing/2014/main" id="{00000000-0008-0000-0000-0000F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790575</xdr:colOff>
          <xdr:row>23</xdr:row>
          <xdr:rowOff>180975</xdr:rowOff>
        </xdr:from>
        <xdr:to>
          <xdr:col>18</xdr:col>
          <xdr:colOff>0</xdr:colOff>
          <xdr:row>25</xdr:row>
          <xdr:rowOff>9525</xdr:rowOff>
        </xdr:to>
        <xdr:sp macro="" textlink="">
          <xdr:nvSpPr>
            <xdr:cNvPr id="33014" name="Check Box 246" hidden="1">
              <a:extLst>
                <a:ext uri="{63B3BB69-23CF-44E3-9099-C40C66FF867C}">
                  <a14:compatExt spid="_x0000_s33014"/>
                </a:ext>
                <a:ext uri="{FF2B5EF4-FFF2-40B4-BE49-F238E27FC236}">
                  <a16:creationId xmlns:a16="http://schemas.microsoft.com/office/drawing/2014/main" id="{00000000-0008-0000-0000-0000F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75</xdr:row>
          <xdr:rowOff>171450</xdr:rowOff>
        </xdr:from>
        <xdr:to>
          <xdr:col>18</xdr:col>
          <xdr:colOff>0</xdr:colOff>
          <xdr:row>77</xdr:row>
          <xdr:rowOff>0</xdr:rowOff>
        </xdr:to>
        <xdr:sp macro="" textlink="">
          <xdr:nvSpPr>
            <xdr:cNvPr id="33015" name="Check Box 247" hidden="1">
              <a:extLst>
                <a:ext uri="{63B3BB69-23CF-44E3-9099-C40C66FF867C}">
                  <a14:compatExt spid="_x0000_s33015"/>
                </a:ext>
                <a:ext uri="{FF2B5EF4-FFF2-40B4-BE49-F238E27FC236}">
                  <a16:creationId xmlns:a16="http://schemas.microsoft.com/office/drawing/2014/main" id="{00000000-0008-0000-0000-0000F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76</xdr:row>
          <xdr:rowOff>171450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3016" name="Check Box 248" hidden="1">
              <a:extLst>
                <a:ext uri="{63B3BB69-23CF-44E3-9099-C40C66FF867C}">
                  <a14:compatExt spid="_x0000_s33016"/>
                </a:ext>
                <a:ext uri="{FF2B5EF4-FFF2-40B4-BE49-F238E27FC236}">
                  <a16:creationId xmlns:a16="http://schemas.microsoft.com/office/drawing/2014/main" id="{00000000-0008-0000-0000-0000F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77</xdr:row>
          <xdr:rowOff>171450</xdr:rowOff>
        </xdr:from>
        <xdr:to>
          <xdr:col>18</xdr:col>
          <xdr:colOff>0</xdr:colOff>
          <xdr:row>79</xdr:row>
          <xdr:rowOff>0</xdr:rowOff>
        </xdr:to>
        <xdr:sp macro="" textlink="">
          <xdr:nvSpPr>
            <xdr:cNvPr id="33017" name="Check Box 249" hidden="1">
              <a:extLst>
                <a:ext uri="{63B3BB69-23CF-44E3-9099-C40C66FF867C}">
                  <a14:compatExt spid="_x0000_s33017"/>
                </a:ext>
                <a:ext uri="{FF2B5EF4-FFF2-40B4-BE49-F238E27FC236}">
                  <a16:creationId xmlns:a16="http://schemas.microsoft.com/office/drawing/2014/main" id="{00000000-0008-0000-0000-0000F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78</xdr:row>
          <xdr:rowOff>171450</xdr:rowOff>
        </xdr:from>
        <xdr:to>
          <xdr:col>18</xdr:col>
          <xdr:colOff>0</xdr:colOff>
          <xdr:row>80</xdr:row>
          <xdr:rowOff>0</xdr:rowOff>
        </xdr:to>
        <xdr:sp macro="" textlink="">
          <xdr:nvSpPr>
            <xdr:cNvPr id="33018" name="Check Box 250" hidden="1">
              <a:extLst>
                <a:ext uri="{63B3BB69-23CF-44E3-9099-C40C66FF867C}">
                  <a14:compatExt spid="_x0000_s33018"/>
                </a:ext>
                <a:ext uri="{FF2B5EF4-FFF2-40B4-BE49-F238E27FC236}">
                  <a16:creationId xmlns:a16="http://schemas.microsoft.com/office/drawing/2014/main" id="{00000000-0008-0000-0000-0000F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79</xdr:row>
          <xdr:rowOff>171450</xdr:rowOff>
        </xdr:from>
        <xdr:to>
          <xdr:col>18</xdr:col>
          <xdr:colOff>0</xdr:colOff>
          <xdr:row>81</xdr:row>
          <xdr:rowOff>0</xdr:rowOff>
        </xdr:to>
        <xdr:sp macro="" textlink="">
          <xdr:nvSpPr>
            <xdr:cNvPr id="33019" name="Check Box 251" hidden="1">
              <a:extLst>
                <a:ext uri="{63B3BB69-23CF-44E3-9099-C40C66FF867C}">
                  <a14:compatExt spid="_x0000_s33019"/>
                </a:ext>
                <a:ext uri="{FF2B5EF4-FFF2-40B4-BE49-F238E27FC236}">
                  <a16:creationId xmlns:a16="http://schemas.microsoft.com/office/drawing/2014/main" id="{00000000-0008-0000-0000-0000F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80</xdr:row>
          <xdr:rowOff>171450</xdr:rowOff>
        </xdr:from>
        <xdr:to>
          <xdr:col>18</xdr:col>
          <xdr:colOff>0</xdr:colOff>
          <xdr:row>82</xdr:row>
          <xdr:rowOff>0</xdr:rowOff>
        </xdr:to>
        <xdr:sp macro="" textlink="">
          <xdr:nvSpPr>
            <xdr:cNvPr id="33020" name="Check Box 252" hidden="1">
              <a:extLst>
                <a:ext uri="{63B3BB69-23CF-44E3-9099-C40C66FF867C}">
                  <a14:compatExt spid="_x0000_s33020"/>
                </a:ext>
                <a:ext uri="{FF2B5EF4-FFF2-40B4-BE49-F238E27FC236}">
                  <a16:creationId xmlns:a16="http://schemas.microsoft.com/office/drawing/2014/main" id="{00000000-0008-0000-0000-0000F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81</xdr:row>
          <xdr:rowOff>171450</xdr:rowOff>
        </xdr:from>
        <xdr:to>
          <xdr:col>18</xdr:col>
          <xdr:colOff>0</xdr:colOff>
          <xdr:row>83</xdr:row>
          <xdr:rowOff>0</xdr:rowOff>
        </xdr:to>
        <xdr:sp macro="" textlink="">
          <xdr:nvSpPr>
            <xdr:cNvPr id="33021" name="Check Box 253" hidden="1">
              <a:extLst>
                <a:ext uri="{63B3BB69-23CF-44E3-9099-C40C66FF867C}">
                  <a14:compatExt spid="_x0000_s33021"/>
                </a:ext>
                <a:ext uri="{FF2B5EF4-FFF2-40B4-BE49-F238E27FC236}">
                  <a16:creationId xmlns:a16="http://schemas.microsoft.com/office/drawing/2014/main" id="{00000000-0008-0000-0000-0000F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82</xdr:row>
          <xdr:rowOff>171450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33022" name="Check Box 254" hidden="1">
              <a:extLst>
                <a:ext uri="{63B3BB69-23CF-44E3-9099-C40C66FF867C}">
                  <a14:compatExt spid="_x0000_s33022"/>
                </a:ext>
                <a:ext uri="{FF2B5EF4-FFF2-40B4-BE49-F238E27FC236}">
                  <a16:creationId xmlns:a16="http://schemas.microsoft.com/office/drawing/2014/main" id="{00000000-0008-0000-0000-0000F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83</xdr:row>
          <xdr:rowOff>171450</xdr:rowOff>
        </xdr:from>
        <xdr:to>
          <xdr:col>18</xdr:col>
          <xdr:colOff>0</xdr:colOff>
          <xdr:row>85</xdr:row>
          <xdr:rowOff>0</xdr:rowOff>
        </xdr:to>
        <xdr:sp macro="" textlink="">
          <xdr:nvSpPr>
            <xdr:cNvPr id="33023" name="Check Box 255" hidden="1">
              <a:extLst>
                <a:ext uri="{63B3BB69-23CF-44E3-9099-C40C66FF867C}">
                  <a14:compatExt spid="_x0000_s33023"/>
                </a:ext>
                <a:ext uri="{FF2B5EF4-FFF2-40B4-BE49-F238E27FC236}">
                  <a16:creationId xmlns:a16="http://schemas.microsoft.com/office/drawing/2014/main" id="{00000000-0008-0000-0000-0000F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1</xdr:row>
          <xdr:rowOff>47625</xdr:rowOff>
        </xdr:from>
        <xdr:to>
          <xdr:col>21</xdr:col>
          <xdr:colOff>209550</xdr:colOff>
          <xdr:row>3</xdr:row>
          <xdr:rowOff>142875</xdr:rowOff>
        </xdr:to>
        <xdr:sp macro="" textlink="">
          <xdr:nvSpPr>
            <xdr:cNvPr id="33024" name="Button 256" hidden="1">
              <a:extLst>
                <a:ext uri="{63B3BB69-23CF-44E3-9099-C40C66FF867C}">
                  <a14:compatExt spid="_x0000_s33024"/>
                </a:ext>
                <a:ext uri="{FF2B5EF4-FFF2-40B4-BE49-F238E27FC236}">
                  <a16:creationId xmlns:a16="http://schemas.microsoft.com/office/drawing/2014/main" id="{00000000-0008-0000-0000-000000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галочек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</xdr:row>
          <xdr:rowOff>0</xdr:rowOff>
        </xdr:from>
        <xdr:to>
          <xdr:col>18</xdr:col>
          <xdr:colOff>390525</xdr:colOff>
          <xdr:row>7</xdr:row>
          <xdr:rowOff>19050</xdr:rowOff>
        </xdr:to>
        <xdr:sp macro="" textlink="">
          <xdr:nvSpPr>
            <xdr:cNvPr id="33031" name="Check Box 263" hidden="1">
              <a:extLst>
                <a:ext uri="{63B3BB69-23CF-44E3-9099-C40C66FF867C}">
                  <a14:compatExt spid="_x0000_s33031"/>
                </a:ext>
                <a:ext uri="{FF2B5EF4-FFF2-40B4-BE49-F238E27FC236}">
                  <a16:creationId xmlns:a16="http://schemas.microsoft.com/office/drawing/2014/main" id="{00000000-0008-0000-0000-000007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7</xdr:row>
          <xdr:rowOff>0</xdr:rowOff>
        </xdr:from>
        <xdr:to>
          <xdr:col>18</xdr:col>
          <xdr:colOff>390525</xdr:colOff>
          <xdr:row>8</xdr:row>
          <xdr:rowOff>19050</xdr:rowOff>
        </xdr:to>
        <xdr:sp macro="" textlink="">
          <xdr:nvSpPr>
            <xdr:cNvPr id="33032" name="Check Box 264" hidden="1">
              <a:extLst>
                <a:ext uri="{63B3BB69-23CF-44E3-9099-C40C66FF867C}">
                  <a14:compatExt spid="_x0000_s33032"/>
                </a:ext>
                <a:ext uri="{FF2B5EF4-FFF2-40B4-BE49-F238E27FC236}">
                  <a16:creationId xmlns:a16="http://schemas.microsoft.com/office/drawing/2014/main" id="{00000000-0008-0000-0000-000008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Таблица24" displayName="Таблица24" ref="A1:Q199" totalsRowShown="0" headerRowDxfId="21" dataDxfId="19" headerRowBorderDxfId="20" tableBorderDxfId="18" totalsRowBorderDxfId="17">
  <autoFilter ref="A1:Q199" xr:uid="{00000000-0009-0000-0100-000003000000}"/>
  <tableColumns count="17">
    <tableColumn id="1" xr3:uid="{00000000-0010-0000-0000-000001000000}" name="1" dataDxfId="16">
      <calculatedColumnFormula>IF('Список дел'!$I2&lt;&gt;"",MAX($A$1:A1)+1,"")</calculatedColumnFormula>
    </tableColumn>
    <tableColumn id="2" xr3:uid="{00000000-0010-0000-0000-000002000000}" name="№п/п2" dataDxfId="15">
      <calculatedColumnFormula>IF(A2&lt;&gt;"",A2,$B1+0.01)</calculatedColumnFormula>
    </tableColumn>
    <tableColumn id="16" xr3:uid="{00000000-0010-0000-0000-000010000000}" name="№п/п22" dataDxfId="14">
      <calculatedColumnFormula>IF(B2&lt;&gt;"",B2,C1+0.01)</calculatedColumnFormula>
    </tableColumn>
    <tableColumn id="3" xr3:uid="{00000000-0010-0000-0000-000003000000}" name="№п/п3" dataDxfId="13">
      <calculatedColumnFormula>TRUNC('Список дел'!$B2)</calculatedColumnFormula>
    </tableColumn>
    <tableColumn id="4" xr3:uid="{00000000-0010-0000-0000-000004000000}" name="№п/п4" dataDxfId="12">
      <calculatedColumnFormula>'Список дел'!$B2-'Список дел'!$D2</calculatedColumnFormula>
    </tableColumn>
    <tableColumn id="5" xr3:uid="{00000000-0010-0000-0000-000005000000}" name="№п/п5" dataDxfId="11">
      <calculatedColumnFormula>'Список дел'!$E2*100</calculatedColumnFormula>
    </tableColumn>
    <tableColumn id="7" xr3:uid="{00000000-0010-0000-0000-000007000000}" name="№п/п6" dataDxfId="10">
      <calculatedColumnFormula>'Список дел'!$D2&amp;"."&amp;TEXT('Список дел'!$F2,"#")</calculatedColumnFormula>
    </tableColumn>
    <tableColumn id="10" xr3:uid="{00000000-0010-0000-0000-00000A000000}" name="Перечень дел" dataDxfId="9">
      <calculatedColumnFormula>IF(AND(Таблица24[[#This Row],[Задачи]]="",Таблица24[[#This Row],[Подзадачи]]=""),"",IF(Таблица24[[#This Row],[Задачи]]="","     "&amp;$G2&amp;" "&amp;$I2&amp;$J2,$G2&amp;" "&amp;$I2&amp;$J2))</calculatedColumnFormula>
    </tableColumn>
    <tableColumn id="8" xr3:uid="{00000000-0010-0000-0000-000008000000}" name="Задачи" dataDxfId="8"/>
    <tableColumn id="9" xr3:uid="{00000000-0010-0000-0000-000009000000}" name="Подзадачи" dataDxfId="7"/>
    <tableColumn id="6" xr3:uid="{FABE686C-BDEB-4914-9725-2102F7027767}" name="Срочность" dataDxfId="6"/>
    <tableColumn id="17" xr3:uid="{00000000-0010-0000-0000-000011000000}" name="Оценка" dataDxfId="5"/>
    <tableColumn id="11" xr3:uid="{00000000-0010-0000-0000-00000B000000}" name="Противность" dataDxfId="4"/>
    <tableColumn id="12" xr3:uid="{00000000-0010-0000-0000-00000C000000}" name="Срочность2" dataDxfId="3"/>
    <tableColumn id="13" xr3:uid="{00000000-0010-0000-0000-00000D000000}" name="Важность" dataDxfId="2"/>
    <tableColumn id="14" xr3:uid="{00000000-0010-0000-0000-00000E000000}" name="PMDR" dataDxfId="1"/>
    <tableColumn id="15" xr3:uid="{00000000-0010-0000-0000-00000F000000}" name="Оценка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219" Type="http://schemas.openxmlformats.org/officeDocument/2006/relationships/ctrlProp" Target="../ctrlProps/ctrlProp21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table" Target="../tables/table1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0">
    <tabColor rgb="FFFFFF00"/>
    <outlinePr summaryBelow="0" summaryRight="0"/>
    <pageSetUpPr fitToPage="1"/>
  </sheetPr>
  <dimension ref="A1:Z215"/>
  <sheetViews>
    <sheetView tabSelected="1" view="pageBreakPreview" topLeftCell="H1" zoomScale="130" zoomScaleNormal="85" zoomScaleSheetLayoutView="130" workbookViewId="0">
      <selection activeCell="Y1" sqref="Y1:Y1048576"/>
    </sheetView>
  </sheetViews>
  <sheetFormatPr defaultRowHeight="15" outlineLevelRow="1" outlineLevelCol="2" x14ac:dyDescent="0.25"/>
  <cols>
    <col min="1" max="1" width="3" hidden="1" customWidth="1" outlineLevel="1" collapsed="1"/>
    <col min="2" max="7" width="3" hidden="1" customWidth="1" outlineLevel="1"/>
    <col min="8" max="8" width="72.5703125" style="19" customWidth="1" collapsed="1"/>
    <col min="9" max="9" width="46.28515625" hidden="1" customWidth="1" outlineLevel="1"/>
    <col min="10" max="10" width="63" hidden="1" customWidth="1" outlineLevel="1"/>
    <col min="11" max="11" width="18.42578125" bestFit="1" customWidth="1"/>
    <col min="12" max="12" width="12.28515625" customWidth="1" collapsed="1"/>
    <col min="13" max="13" width="9.140625" hidden="1" customWidth="1" outlineLevel="2"/>
    <col min="14" max="14" width="14.7109375" hidden="1" customWidth="1" outlineLevel="2"/>
    <col min="15" max="15" width="12.5703125" hidden="1" customWidth="1" outlineLevel="2"/>
    <col min="16" max="16" width="11.85546875" hidden="1" customWidth="1" outlineLevel="2"/>
    <col min="17" max="17" width="2.85546875" hidden="1" customWidth="1" outlineLevel="2"/>
    <col min="18" max="18" width="3.28515625" customWidth="1"/>
    <col min="24" max="24" width="9.28515625" customWidth="1"/>
    <col min="25" max="26" width="0.85546875" customWidth="1"/>
  </cols>
  <sheetData>
    <row r="1" spans="1:26" x14ac:dyDescent="0.25">
      <c r="A1" s="3" t="s">
        <v>12</v>
      </c>
      <c r="B1" s="3" t="s">
        <v>6</v>
      </c>
      <c r="C1" s="3" t="s">
        <v>11</v>
      </c>
      <c r="D1" s="3" t="s">
        <v>7</v>
      </c>
      <c r="E1" s="3" t="s">
        <v>8</v>
      </c>
      <c r="F1" s="3" t="s">
        <v>9</v>
      </c>
      <c r="G1" s="3" t="s">
        <v>10</v>
      </c>
      <c r="H1" s="18" t="s">
        <v>13</v>
      </c>
      <c r="I1" s="4" t="s">
        <v>21</v>
      </c>
      <c r="J1" s="4" t="s">
        <v>4</v>
      </c>
      <c r="K1" s="4" t="s">
        <v>1</v>
      </c>
      <c r="L1" s="4" t="s">
        <v>3</v>
      </c>
      <c r="M1" s="4" t="s">
        <v>0</v>
      </c>
      <c r="N1" s="4" t="s">
        <v>44</v>
      </c>
      <c r="O1" s="4" t="s">
        <v>2</v>
      </c>
      <c r="P1" s="4" t="s">
        <v>5</v>
      </c>
      <c r="Q1" s="5" t="s">
        <v>22</v>
      </c>
    </row>
    <row r="2" spans="1:26" x14ac:dyDescent="0.25">
      <c r="A2" s="14">
        <f>IF('Список дел'!$I2&lt;&gt;"",MAX($A$1:A1)+1,"")</f>
        <v>1</v>
      </c>
      <c r="B2" s="10">
        <f>IF(A2&lt;&gt;"",A2,$B1+0.01)</f>
        <v>1</v>
      </c>
      <c r="C2" s="10">
        <f t="shared" ref="C2" si="0">IF(B2&lt;&gt;"",B2,C1+0.01)</f>
        <v>1</v>
      </c>
      <c r="D2" s="10">
        <f>TRUNC('Список дел'!$B2)</f>
        <v>1</v>
      </c>
      <c r="E2" s="10">
        <f>'Список дел'!$B2-'Список дел'!$D2</f>
        <v>0</v>
      </c>
      <c r="F2" s="10">
        <f>'Список дел'!$E2*100</f>
        <v>0</v>
      </c>
      <c r="G2" s="10" t="str">
        <f>'Список дел'!$D2&amp;"."&amp;TEXT('Список дел'!$F2,"#")</f>
        <v>1.</v>
      </c>
      <c r="H2" s="12" t="str">
        <f>IF(AND(Таблица24[[#This Row],[Задачи]]="",Таблица24[[#This Row],[Подзадачи]]=""),"",IF(Таблица24[[#This Row],[Задачи]]="","     "&amp;$G2&amp;" "&amp;$I2&amp;$J2,$G2&amp;" "&amp;$I2&amp;$J2))</f>
        <v>1. Планирование дня</v>
      </c>
      <c r="I2" s="10" t="s">
        <v>45</v>
      </c>
      <c r="J2" s="10"/>
      <c r="K2" s="10" t="s">
        <v>46</v>
      </c>
      <c r="L2" s="10">
        <v>0</v>
      </c>
      <c r="M2" s="10"/>
      <c r="N2" s="10"/>
      <c r="O2" s="10"/>
      <c r="P2" s="16"/>
      <c r="Q2" s="15"/>
      <c r="Y2" t="b">
        <v>0</v>
      </c>
      <c r="Z2" t="str">
        <f>IF(Таблица24[[#This Row],[Подзадачи]]="",IF($Y2=TRUE,SoundMe2(),""),IF($Y2=TRUE,SoundMe(),""))</f>
        <v/>
      </c>
    </row>
    <row r="3" spans="1:26" outlineLevel="1" x14ac:dyDescent="0.25">
      <c r="A3" s="14" t="str">
        <f>IF('Список дел'!$I3&lt;&gt;"",MAX($A$1:A2)+1,"")</f>
        <v/>
      </c>
      <c r="B3" s="10">
        <f t="shared" ref="B3:B61" si="1">IF(A3&lt;&gt;"",A3,$B2+0.01)</f>
        <v>1.01</v>
      </c>
      <c r="C3" s="10">
        <f t="shared" ref="C3:C61" si="2">IF(B3&lt;&gt;"",B3,C2+0.01)</f>
        <v>1.01</v>
      </c>
      <c r="D3" s="10">
        <f>TRUNC('Список дел'!$B3)</f>
        <v>1</v>
      </c>
      <c r="E3" s="10">
        <f>'Список дел'!$B3-'Список дел'!$D3</f>
        <v>1.0000000000000009E-2</v>
      </c>
      <c r="F3" s="10">
        <f>'Список дел'!$E3*100</f>
        <v>1.0000000000000009</v>
      </c>
      <c r="G3" s="10" t="str">
        <f>'Список дел'!$D3&amp;"."&amp;TEXT('Список дел'!$F3,"#")</f>
        <v>1.1</v>
      </c>
      <c r="H3" s="12" t="str">
        <f>IF(AND(Таблица24[[#This Row],[Задачи]]="",Таблица24[[#This Row],[Подзадачи]]=""),"",IF(Таблица24[[#This Row],[Задачи]]="","     "&amp;$G3&amp;" "&amp;$I3&amp;$J3,$G3&amp;" "&amp;$I3&amp;$J3))</f>
        <v xml:space="preserve">     1.1 Открыть "Список дел"</v>
      </c>
      <c r="I3" s="10"/>
      <c r="J3" s="10" t="s">
        <v>14</v>
      </c>
      <c r="K3" s="10"/>
      <c r="L3" s="10"/>
      <c r="M3" s="10"/>
      <c r="N3" s="10"/>
      <c r="O3" s="10"/>
      <c r="P3" s="16"/>
      <c r="Q3" s="15"/>
      <c r="Y3" t="b">
        <v>0</v>
      </c>
      <c r="Z3" t="str">
        <f>IF(Таблица24[[#This Row],[Подзадачи]]="",IF($Y3=TRUE,SoundMe2(),""),IF($Y3=TRUE,SoundMe(),""))</f>
        <v/>
      </c>
    </row>
    <row r="4" spans="1:26" outlineLevel="1" x14ac:dyDescent="0.25">
      <c r="A4" s="14" t="str">
        <f>IF('Список дел'!$I4&lt;&gt;"",MAX($A$1:A3)+1,"")</f>
        <v/>
      </c>
      <c r="B4" s="10">
        <f t="shared" si="1"/>
        <v>1.02</v>
      </c>
      <c r="C4" s="10">
        <f t="shared" si="2"/>
        <v>1.02</v>
      </c>
      <c r="D4" s="10">
        <f>TRUNC('Список дел'!$B4)</f>
        <v>1</v>
      </c>
      <c r="E4" s="10">
        <f>'Список дел'!$B4-'Список дел'!$D4</f>
        <v>2.0000000000000018E-2</v>
      </c>
      <c r="F4" s="10">
        <f>'Список дел'!$E4*100</f>
        <v>2.0000000000000018</v>
      </c>
      <c r="G4" s="10" t="str">
        <f>'Список дел'!$D4&amp;"."&amp;TEXT('Список дел'!$F4,"#")</f>
        <v>1.2</v>
      </c>
      <c r="H4" s="12" t="str">
        <f>IF(AND(Таблица24[[#This Row],[Задачи]]="",Таблица24[[#This Row],[Подзадачи]]=""),"",IF(Таблица24[[#This Row],[Задачи]]="","     "&amp;$G4&amp;" "&amp;$I4&amp;$J4,$G4&amp;" "&amp;$I4&amp;$J4))</f>
        <v xml:space="preserve">     1.2 Прочитать что в нем имеется на данном этапе</v>
      </c>
      <c r="I4" s="10"/>
      <c r="J4" s="10" t="s">
        <v>15</v>
      </c>
      <c r="K4" s="10"/>
      <c r="L4" s="10"/>
      <c r="M4" s="10"/>
      <c r="N4" s="10"/>
      <c r="O4" s="10"/>
      <c r="P4" s="16"/>
      <c r="Q4" s="15"/>
      <c r="Y4" t="b">
        <v>0</v>
      </c>
      <c r="Z4" t="str">
        <f>IF(Таблица24[[#This Row],[Подзадачи]]="",IF($Y4=TRUE,SoundMe2(),""),IF($Y4=TRUE,SoundMe(),""))</f>
        <v/>
      </c>
    </row>
    <row r="5" spans="1:26" outlineLevel="1" x14ac:dyDescent="0.25">
      <c r="A5" s="14" t="str">
        <f>IF('Список дел'!$I5&lt;&gt;"",MAX($A$1:A4)+1,"")</f>
        <v/>
      </c>
      <c r="B5" s="10">
        <f t="shared" si="1"/>
        <v>1.03</v>
      </c>
      <c r="C5" s="10">
        <f t="shared" si="2"/>
        <v>1.03</v>
      </c>
      <c r="D5" s="10">
        <f>TRUNC('Список дел'!$B5)</f>
        <v>1</v>
      </c>
      <c r="E5" s="10">
        <f>'Список дел'!$B5-'Список дел'!$D5</f>
        <v>3.0000000000000027E-2</v>
      </c>
      <c r="F5" s="10">
        <f>'Список дел'!$E5*100</f>
        <v>3.0000000000000027</v>
      </c>
      <c r="G5" s="10" t="str">
        <f>'Список дел'!$D5&amp;"."&amp;TEXT('Список дел'!$F5,"#")</f>
        <v>1.3</v>
      </c>
      <c r="H5" s="12" t="str">
        <f>IF(AND(Таблица24[[#This Row],[Задачи]]="",Таблица24[[#This Row],[Подзадачи]]=""),"",IF(Таблица24[[#This Row],[Задачи]]="","     "&amp;$G5&amp;" "&amp;$I5&amp;$J5,$G5&amp;" "&amp;$I5&amp;$J5))</f>
        <v xml:space="preserve">     1.3 Заполнить задачи</v>
      </c>
      <c r="I5" s="10"/>
      <c r="J5" s="10" t="s">
        <v>16</v>
      </c>
      <c r="K5" s="10"/>
      <c r="L5" s="10"/>
      <c r="M5" s="10"/>
      <c r="N5" s="10"/>
      <c r="O5" s="10"/>
      <c r="P5" s="16"/>
      <c r="Q5" s="15"/>
      <c r="Y5" t="b">
        <v>0</v>
      </c>
      <c r="Z5" t="str">
        <f>IF(Таблица24[[#This Row],[Подзадачи]]="",IF($Y5=TRUE,SoundMe2(),""),IF($Y5=TRUE,SoundMe(),""))</f>
        <v/>
      </c>
    </row>
    <row r="6" spans="1:26" outlineLevel="1" x14ac:dyDescent="0.25">
      <c r="A6" s="14" t="str">
        <f>IF('Список дел'!$I6&lt;&gt;"",MAX($A$1:A5)+1,"")</f>
        <v/>
      </c>
      <c r="B6" s="10">
        <f t="shared" si="1"/>
        <v>1.04</v>
      </c>
      <c r="C6" s="10">
        <f t="shared" si="2"/>
        <v>1.04</v>
      </c>
      <c r="D6" s="10">
        <f>TRUNC('Список дел'!$B6)</f>
        <v>1</v>
      </c>
      <c r="E6" s="10">
        <f>'Список дел'!$B6-'Список дел'!$D6</f>
        <v>4.0000000000000036E-2</v>
      </c>
      <c r="F6" s="10">
        <f>'Список дел'!$E6*100</f>
        <v>4.0000000000000036</v>
      </c>
      <c r="G6" s="10" t="str">
        <f>'Список дел'!$D6&amp;"."&amp;TEXT('Список дел'!$F6,"#")</f>
        <v>1.4</v>
      </c>
      <c r="H6" s="12" t="str">
        <f>IF(AND(Таблица24[[#This Row],[Задачи]]="",Таблица24[[#This Row],[Подзадачи]]=""),"",IF(Таблица24[[#This Row],[Задачи]]="","     "&amp;$G6&amp;" "&amp;$I6&amp;$J6,$G6&amp;" "&amp;$I6&amp;$J6))</f>
        <v xml:space="preserve">     1.4 Заполнить подзадачи</v>
      </c>
      <c r="I6" s="10"/>
      <c r="J6" s="10" t="s">
        <v>17</v>
      </c>
      <c r="K6" s="10"/>
      <c r="L6" s="10"/>
      <c r="M6" s="10"/>
      <c r="N6" s="10"/>
      <c r="O6" s="10"/>
      <c r="P6" s="16"/>
      <c r="Q6" s="15"/>
      <c r="Y6" t="b">
        <v>0</v>
      </c>
      <c r="Z6" t="str">
        <f>IF(Таблица24[[#This Row],[Подзадачи]]="",IF($Y6=TRUE,SoundMe2(),""),IF($Y6=TRUE,SoundMe(),""))</f>
        <v/>
      </c>
    </row>
    <row r="7" spans="1:26" outlineLevel="1" x14ac:dyDescent="0.25">
      <c r="A7" s="14" t="str">
        <f>IF('Список дел'!$I7&lt;&gt;"",MAX($A$1:A6)+1,"")</f>
        <v/>
      </c>
      <c r="B7" s="10">
        <f t="shared" si="1"/>
        <v>1.05</v>
      </c>
      <c r="C7" s="10">
        <f t="shared" si="2"/>
        <v>1.05</v>
      </c>
      <c r="D7" s="10">
        <f>TRUNC('Список дел'!$B7)</f>
        <v>1</v>
      </c>
      <c r="E7" s="10">
        <f>'Список дел'!$B7-'Список дел'!$D7</f>
        <v>5.0000000000000044E-2</v>
      </c>
      <c r="F7" s="10">
        <f>'Список дел'!$E7*100</f>
        <v>5.0000000000000044</v>
      </c>
      <c r="G7" s="10" t="str">
        <f>'Список дел'!$D7&amp;"."&amp;TEXT('Список дел'!$F7,"#")</f>
        <v>1.5</v>
      </c>
      <c r="H7" s="12" t="str">
        <f>IF(AND(Таблица24[[#This Row],[Задачи]]="",Таблица24[[#This Row],[Подзадачи]]=""),"",IF(Таблица24[[#This Row],[Задачи]]="","     "&amp;$G7&amp;" "&amp;$I7&amp;$J7,$G7&amp;" "&amp;$I7&amp;$J7))</f>
        <v xml:space="preserve">     1.5 Прописать сроки</v>
      </c>
      <c r="I7" s="10"/>
      <c r="J7" s="10" t="s">
        <v>19</v>
      </c>
      <c r="K7" s="10"/>
      <c r="L7" s="10"/>
      <c r="M7" s="10"/>
      <c r="N7" s="10"/>
      <c r="O7" s="10"/>
      <c r="P7" s="16"/>
      <c r="Q7" s="15"/>
      <c r="Z7" t="str">
        <f>IF(Таблица24[[#This Row],[Подзадачи]]="",IF($Y7=TRUE,SoundMe2(),""),IF($Y7=TRUE,SoundMe(),""))</f>
        <v/>
      </c>
    </row>
    <row r="8" spans="1:26" outlineLevel="1" x14ac:dyDescent="0.25">
      <c r="A8" s="14" t="str">
        <f>IF('Список дел'!$I8&lt;&gt;"",MAX($A$1:A7)+1,"")</f>
        <v/>
      </c>
      <c r="B8" s="10">
        <f t="shared" si="1"/>
        <v>1.06</v>
      </c>
      <c r="C8" s="10">
        <f t="shared" si="2"/>
        <v>1.06</v>
      </c>
      <c r="D8" s="10">
        <f>TRUNC('Список дел'!$B8)</f>
        <v>1</v>
      </c>
      <c r="E8" s="10">
        <f>'Список дел'!$B8-'Список дел'!$D8</f>
        <v>6.0000000000000053E-2</v>
      </c>
      <c r="F8" s="10">
        <f>'Список дел'!$E8*100</f>
        <v>6.0000000000000053</v>
      </c>
      <c r="G8" s="10" t="str">
        <f>'Список дел'!$D8&amp;"."&amp;TEXT('Список дел'!$F8,"#")</f>
        <v>1.6</v>
      </c>
      <c r="H8" s="12" t="str">
        <f>IF(AND(Таблица24[[#This Row],[Задачи]]="",Таблица24[[#This Row],[Подзадачи]]=""),"",IF(Таблица24[[#This Row],[Задачи]]="","     "&amp;$G8&amp;" "&amp;$I8&amp;$J8,$G8&amp;" "&amp;$I8&amp;$J8))</f>
        <v xml:space="preserve">     1.6 Определить приоритет выполнения</v>
      </c>
      <c r="I8" s="10"/>
      <c r="J8" s="10" t="s">
        <v>18</v>
      </c>
      <c r="K8" s="10"/>
      <c r="L8" s="10"/>
      <c r="M8" s="10"/>
      <c r="N8" s="10"/>
      <c r="O8" s="10"/>
      <c r="P8" s="16"/>
      <c r="Q8" s="15"/>
      <c r="Z8" t="str">
        <f>IF(Таблица24[[#This Row],[Подзадачи]]="",IF($Y8=TRUE,SoundMe2(),""),IF($Y8=TRUE,SoundMe(),""))</f>
        <v/>
      </c>
    </row>
    <row r="9" spans="1:26" outlineLevel="1" x14ac:dyDescent="0.25">
      <c r="A9" s="14" t="str">
        <f>IF('Список дел'!$I9&lt;&gt;"",MAX($A$1:A8)+1,"")</f>
        <v/>
      </c>
      <c r="B9" s="10">
        <f t="shared" si="1"/>
        <v>1.07</v>
      </c>
      <c r="C9" s="10">
        <f t="shared" si="2"/>
        <v>1.07</v>
      </c>
      <c r="D9" s="10">
        <f>TRUNC('Список дел'!$B9)</f>
        <v>1</v>
      </c>
      <c r="E9" s="10">
        <f>'Список дел'!$B9-'Список дел'!$D9</f>
        <v>7.0000000000000062E-2</v>
      </c>
      <c r="F9" s="10">
        <f>'Список дел'!$E9*100</f>
        <v>7.0000000000000062</v>
      </c>
      <c r="G9" s="10" t="str">
        <f>'Список дел'!$D9&amp;"."&amp;TEXT('Список дел'!$F9,"#")</f>
        <v>1.7</v>
      </c>
      <c r="H9" s="12" t="str">
        <f>IF(AND(Таблица24[[#This Row],[Задачи]]="",Таблица24[[#This Row],[Подзадачи]]=""),"",IF(Таблица24[[#This Row],[Задачи]]="","     "&amp;$G9&amp;" "&amp;$I9&amp;$J9,$G9&amp;" "&amp;$I9&amp;$J9))</f>
        <v xml:space="preserve">     1.7 Приступить к выполнению</v>
      </c>
      <c r="I9" s="10"/>
      <c r="J9" s="10" t="s">
        <v>20</v>
      </c>
      <c r="K9" s="10"/>
      <c r="L9" s="10"/>
      <c r="M9" s="10"/>
      <c r="N9" s="10"/>
      <c r="O9" s="10"/>
      <c r="P9" s="16"/>
      <c r="Q9" s="15"/>
      <c r="Z9" t="str">
        <f>IF(Таблица24[[#This Row],[Подзадачи]]="",IF($Y9=TRUE,SoundMe2(),""),IF($Y9=TRUE,SoundMe(),""))</f>
        <v/>
      </c>
    </row>
    <row r="10" spans="1:26" x14ac:dyDescent="0.25">
      <c r="A10" s="14">
        <f>IF('Список дел'!$I10&lt;&gt;"",MAX($A$1:A9)+1,"")</f>
        <v>2</v>
      </c>
      <c r="B10" s="10">
        <f t="shared" si="1"/>
        <v>2</v>
      </c>
      <c r="C10" s="10">
        <f t="shared" si="2"/>
        <v>2</v>
      </c>
      <c r="D10" s="10">
        <f>TRUNC('Список дел'!$B10)</f>
        <v>2</v>
      </c>
      <c r="E10" s="10">
        <f>'Список дел'!$B10-'Список дел'!$D10</f>
        <v>0</v>
      </c>
      <c r="F10" s="10">
        <f>'Список дел'!$E10*100</f>
        <v>0</v>
      </c>
      <c r="G10" s="10" t="str">
        <f>'Список дел'!$D10&amp;"."&amp;TEXT('Список дел'!$F10,"#")</f>
        <v>2.</v>
      </c>
      <c r="H10" s="12" t="str">
        <f>IF(AND(Таблица24[[#This Row],[Задачи]]="",Таблица24[[#This Row],[Подзадачи]]=""),"",IF(Таблица24[[#This Row],[Задачи]]="","     "&amp;$G10&amp;" "&amp;$I10&amp;$J10,$G10&amp;" "&amp;$I10&amp;$J10))</f>
        <v>2. Обучение ERP</v>
      </c>
      <c r="I10" s="20" t="s">
        <v>23</v>
      </c>
      <c r="J10" s="12"/>
      <c r="K10" s="21" t="s">
        <v>47</v>
      </c>
      <c r="L10" s="12">
        <v>3</v>
      </c>
      <c r="M10" s="10"/>
      <c r="N10" s="10"/>
      <c r="O10" s="10"/>
      <c r="P10" s="16"/>
      <c r="Q10" s="15"/>
      <c r="Z10" t="str">
        <f>IF(Таблица24[[#This Row],[Подзадачи]]="",IF($Y10=TRUE,SoundMe2(),""),IF($Y10=TRUE,SoundMe(),""))</f>
        <v/>
      </c>
    </row>
    <row r="11" spans="1:26" outlineLevel="1" x14ac:dyDescent="0.25">
      <c r="A11" s="14" t="str">
        <f>IF('Список дел'!$I11&lt;&gt;"",MAX($A$1:A10)+1,"")</f>
        <v/>
      </c>
      <c r="B11" s="10">
        <f t="shared" si="1"/>
        <v>2.0099999999999998</v>
      </c>
      <c r="C11" s="10">
        <f t="shared" si="2"/>
        <v>2.0099999999999998</v>
      </c>
      <c r="D11" s="10">
        <f>TRUNC('Список дел'!$B11)</f>
        <v>2</v>
      </c>
      <c r="E11" s="10">
        <f>'Список дел'!$B11-'Список дел'!$D11</f>
        <v>9.9999999999997868E-3</v>
      </c>
      <c r="F11" s="10">
        <f>'Список дел'!$E11*100</f>
        <v>0.99999999999997868</v>
      </c>
      <c r="G11" s="10" t="str">
        <f>'Список дел'!$D11&amp;"."&amp;TEXT('Список дел'!$F11,"#")</f>
        <v>2.1</v>
      </c>
      <c r="H11" s="12" t="str">
        <f>IF(AND(Таблица24[[#This Row],[Задачи]]="",Таблица24[[#This Row],[Подзадачи]]=""),"",IF(Таблица24[[#This Row],[Задачи]]="","     "&amp;$G11&amp;" "&amp;$I11&amp;$J11,$G11&amp;" "&amp;$I11&amp;$J11))</f>
        <v xml:space="preserve">     2.1 Достал ежедневник</v>
      </c>
      <c r="I11" s="12"/>
      <c r="J11" s="20" t="s">
        <v>26</v>
      </c>
      <c r="K11" s="20"/>
      <c r="L11" s="12"/>
      <c r="M11" s="10"/>
      <c r="N11" s="10"/>
      <c r="O11" s="10"/>
      <c r="P11" s="16"/>
      <c r="Q11" s="15"/>
      <c r="Z11" t="str">
        <f>IF(Таблица24[[#This Row],[Подзадачи]]="",IF($Y11=TRUE,SoundMe2(),""),IF($Y11=TRUE,SoundMe(),""))</f>
        <v/>
      </c>
    </row>
    <row r="12" spans="1:26" outlineLevel="1" x14ac:dyDescent="0.25">
      <c r="A12" s="14" t="str">
        <f>IF('Список дел'!$I12&lt;&gt;"",MAX($A$1:A11)+1,"")</f>
        <v/>
      </c>
      <c r="B12" s="10">
        <f t="shared" si="1"/>
        <v>2.0199999999999996</v>
      </c>
      <c r="C12" s="10">
        <f t="shared" si="2"/>
        <v>2.0199999999999996</v>
      </c>
      <c r="D12" s="10">
        <f>TRUNC('Список дел'!$B12)</f>
        <v>2</v>
      </c>
      <c r="E12" s="10">
        <f>'Список дел'!$B12-'Список дел'!$D12</f>
        <v>1.9999999999999574E-2</v>
      </c>
      <c r="F12" s="10">
        <f>'Список дел'!$E12*100</f>
        <v>1.9999999999999574</v>
      </c>
      <c r="G12" s="10" t="str">
        <f>'Список дел'!$D12&amp;"."&amp;TEXT('Список дел'!$F12,"#")</f>
        <v>2.2</v>
      </c>
      <c r="H12" s="12" t="str">
        <f>IF(AND(Таблица24[[#This Row],[Задачи]]="",Таблица24[[#This Row],[Подзадачи]]=""),"",IF(Таблица24[[#This Row],[Задачи]]="","     "&amp;$G12&amp;" "&amp;$I12&amp;$J12,$G12&amp;" "&amp;$I12&amp;$J12))</f>
        <v xml:space="preserve">     2.2 Открыл предыдущий урок</v>
      </c>
      <c r="I12" s="12"/>
      <c r="J12" s="20" t="s">
        <v>27</v>
      </c>
      <c r="K12" s="20"/>
      <c r="L12" s="12"/>
      <c r="M12" s="10"/>
      <c r="N12" s="10"/>
      <c r="O12" s="10"/>
      <c r="P12" s="16"/>
      <c r="Q12" s="15"/>
      <c r="Z12" t="str">
        <f>IF(Таблица24[[#This Row],[Подзадачи]]="",IF($Y12=TRUE,SoundMe2(),""),IF($Y12=TRUE,SoundMe(),""))</f>
        <v/>
      </c>
    </row>
    <row r="13" spans="1:26" outlineLevel="1" x14ac:dyDescent="0.25">
      <c r="A13" s="14" t="str">
        <f>IF('Список дел'!$I13&lt;&gt;"",MAX($A$1:A12)+1,"")</f>
        <v/>
      </c>
      <c r="B13" s="10">
        <f t="shared" si="1"/>
        <v>2.0299999999999994</v>
      </c>
      <c r="C13" s="10">
        <f t="shared" si="2"/>
        <v>2.0299999999999994</v>
      </c>
      <c r="D13" s="10">
        <f>TRUNC('Список дел'!$B13)</f>
        <v>2</v>
      </c>
      <c r="E13" s="10">
        <f>'Список дел'!$B13-'Список дел'!$D13</f>
        <v>2.9999999999999361E-2</v>
      </c>
      <c r="F13" s="10">
        <f>'Список дел'!$E13*100</f>
        <v>2.9999999999999361</v>
      </c>
      <c r="G13" s="10" t="str">
        <f>'Список дел'!$D13&amp;"."&amp;TEXT('Список дел'!$F13,"#")</f>
        <v>2.3</v>
      </c>
      <c r="H13" s="12" t="str">
        <f>IF(AND(Таблица24[[#This Row],[Задачи]]="",Таблица24[[#This Row],[Подзадачи]]=""),"",IF(Таблица24[[#This Row],[Задачи]]="","     "&amp;$G13&amp;" "&amp;$I13&amp;$J13,$G13&amp;" "&amp;$I13&amp;$J13))</f>
        <v xml:space="preserve">     2.3 Просмотрел видео, делая пометки</v>
      </c>
      <c r="I13" s="12"/>
      <c r="J13" s="20" t="s">
        <v>28</v>
      </c>
      <c r="K13" s="20"/>
      <c r="L13" s="12"/>
      <c r="M13" s="10"/>
      <c r="N13" s="10"/>
      <c r="O13" s="10"/>
      <c r="P13" s="16"/>
      <c r="Q13" s="15"/>
      <c r="Z13" t="str">
        <f>IF(Таблица24[[#This Row],[Подзадачи]]="",IF($Y13=TRUE,SoundMe2(),""),IF($Y13=TRUE,SoundMe(),""))</f>
        <v/>
      </c>
    </row>
    <row r="14" spans="1:26" outlineLevel="1" x14ac:dyDescent="0.25">
      <c r="A14" s="14" t="str">
        <f>IF('Список дел'!$I14&lt;&gt;"",MAX($A$1:A13)+1,"")</f>
        <v/>
      </c>
      <c r="B14" s="10">
        <f t="shared" si="1"/>
        <v>2.0399999999999991</v>
      </c>
      <c r="C14" s="10">
        <f t="shared" si="2"/>
        <v>2.0399999999999991</v>
      </c>
      <c r="D14" s="10">
        <f>TRUNC('Список дел'!$B14)</f>
        <v>2</v>
      </c>
      <c r="E14" s="10">
        <f>'Список дел'!$B14-'Список дел'!$D14</f>
        <v>3.9999999999999147E-2</v>
      </c>
      <c r="F14" s="10">
        <f>'Список дел'!$E14*100</f>
        <v>3.9999999999999147</v>
      </c>
      <c r="G14" s="10" t="str">
        <f>'Список дел'!$D14&amp;"."&amp;TEXT('Список дел'!$F14,"#")</f>
        <v>2.4</v>
      </c>
      <c r="H14" s="12" t="str">
        <f>IF(AND(Таблица24[[#This Row],[Задачи]]="",Таблица24[[#This Row],[Подзадачи]]=""),"",IF(Таблица24[[#This Row],[Задачи]]="","     "&amp;$G14&amp;" "&amp;$I14&amp;$J14,$G14&amp;" "&amp;$I14&amp;$J14))</f>
        <v xml:space="preserve">     2.4 Запустил следующий урок</v>
      </c>
      <c r="I14" s="12"/>
      <c r="J14" s="20" t="s">
        <v>29</v>
      </c>
      <c r="K14" s="20"/>
      <c r="L14" s="12"/>
      <c r="M14" s="1"/>
      <c r="N14" s="1"/>
      <c r="O14" s="1"/>
      <c r="P14" s="8"/>
      <c r="Q14" s="6"/>
      <c r="Z14" t="str">
        <f>IF(Таблица24[[#This Row],[Подзадачи]]="",IF($Y14=TRUE,SoundMe2(),""),IF($Y14=TRUE,SoundMe(),""))</f>
        <v/>
      </c>
    </row>
    <row r="15" spans="1:26" outlineLevel="1" x14ac:dyDescent="0.25">
      <c r="A15" s="14" t="str">
        <f>IF('Список дел'!$I15&lt;&gt;"",MAX($A$1:A14)+1,"")</f>
        <v/>
      </c>
      <c r="B15" s="10">
        <f t="shared" si="1"/>
        <v>2.0499999999999989</v>
      </c>
      <c r="C15" s="10">
        <f t="shared" si="2"/>
        <v>2.0499999999999989</v>
      </c>
      <c r="D15" s="10">
        <f>TRUNC('Список дел'!$B15)</f>
        <v>2</v>
      </c>
      <c r="E15" s="10">
        <f>'Список дел'!$B15-'Список дел'!$D15</f>
        <v>4.9999999999998934E-2</v>
      </c>
      <c r="F15" s="10">
        <f>'Список дел'!$E15*100</f>
        <v>4.9999999999998934</v>
      </c>
      <c r="G15" s="10" t="str">
        <f>'Список дел'!$D15&amp;"."&amp;TEXT('Список дел'!$F15,"#")</f>
        <v>2.5</v>
      </c>
      <c r="H15" s="12" t="str">
        <f>IF(AND(Таблица24[[#This Row],[Задачи]]="",Таблица24[[#This Row],[Подзадачи]]=""),"",IF(Таблица24[[#This Row],[Задачи]]="","     "&amp;$G15&amp;" "&amp;$I15&amp;$J15,$G15&amp;" "&amp;$I15&amp;$J15))</f>
        <v xml:space="preserve">     2.5 Получил доступ к демонстрационной базе ERP</v>
      </c>
      <c r="I15" s="12"/>
      <c r="J15" s="20" t="s">
        <v>30</v>
      </c>
      <c r="K15" s="20"/>
      <c r="L15" s="12"/>
      <c r="M15" s="1"/>
      <c r="N15" s="1"/>
      <c r="O15" s="1"/>
      <c r="P15" s="8"/>
      <c r="Q15" s="6"/>
      <c r="Z15" t="str">
        <f>IF(Таблица24[[#This Row],[Подзадачи]]="",IF($Y15=TRUE,SoundMe2(),""),IF($Y15=TRUE,SoundMe(),""))</f>
        <v/>
      </c>
    </row>
    <row r="16" spans="1:26" x14ac:dyDescent="0.25">
      <c r="A16" s="14">
        <f>IF('Список дел'!$I16&lt;&gt;"",MAX($A$1:A15)+1,"")</f>
        <v>3</v>
      </c>
      <c r="B16" s="10">
        <f t="shared" si="1"/>
        <v>3</v>
      </c>
      <c r="C16" s="10">
        <f t="shared" si="2"/>
        <v>3</v>
      </c>
      <c r="D16" s="10">
        <f>TRUNC('Список дел'!$B16)</f>
        <v>3</v>
      </c>
      <c r="E16" s="10">
        <f>'Список дел'!$B16-'Список дел'!$D16</f>
        <v>0</v>
      </c>
      <c r="F16" s="10">
        <f>'Список дел'!$E16*100</f>
        <v>0</v>
      </c>
      <c r="G16" s="10" t="str">
        <f>'Список дел'!$D16&amp;"."&amp;TEXT('Список дел'!$F16,"#")</f>
        <v>3.</v>
      </c>
      <c r="H16" s="12" t="str">
        <f>IF(AND(Таблица24[[#This Row],[Задачи]]="",Таблица24[[#This Row],[Подзадачи]]=""),"",IF(Таблица24[[#This Row],[Задачи]]="","     "&amp;$G16&amp;" "&amp;$I16&amp;$J16,$G16&amp;" "&amp;$I16&amp;$J16))</f>
        <v>3. Опыт ТМХ по внедрению ERP</v>
      </c>
      <c r="I16" s="20" t="s">
        <v>24</v>
      </c>
      <c r="J16" s="12"/>
      <c r="K16" s="12" t="s">
        <v>48</v>
      </c>
      <c r="L16" s="12">
        <v>4</v>
      </c>
      <c r="M16" s="1"/>
      <c r="N16" s="1"/>
      <c r="O16" s="1"/>
      <c r="P16" s="8"/>
      <c r="Q16" s="6"/>
      <c r="Z16" t="str">
        <f>IF(Таблица24[[#This Row],[Подзадачи]]="",IF($Y16=TRUE,SoundMe2(),""),IF($Y16=TRUE,SoundMe(),""))</f>
        <v/>
      </c>
    </row>
    <row r="17" spans="1:26" outlineLevel="1" x14ac:dyDescent="0.25">
      <c r="A17" s="14" t="str">
        <f>IF('Список дел'!$I17&lt;&gt;"",MAX($A$1:A16)+1,"")</f>
        <v/>
      </c>
      <c r="B17" s="10">
        <f t="shared" si="1"/>
        <v>3.01</v>
      </c>
      <c r="C17" s="10">
        <f t="shared" si="2"/>
        <v>3.01</v>
      </c>
      <c r="D17" s="10">
        <f>TRUNC('Список дел'!$B17)</f>
        <v>3</v>
      </c>
      <c r="E17" s="10">
        <f>'Список дел'!$B17-'Список дел'!$D17</f>
        <v>9.9999999999997868E-3</v>
      </c>
      <c r="F17" s="10">
        <f>'Список дел'!$E17*100</f>
        <v>0.99999999999997868</v>
      </c>
      <c r="G17" s="10" t="str">
        <f>'Список дел'!$D17&amp;"."&amp;TEXT('Список дел'!$F17,"#")</f>
        <v>3.1</v>
      </c>
      <c r="H17" s="12" t="str">
        <f>IF(AND(Таблица24[[#This Row],[Задачи]]="",Таблица24[[#This Row],[Подзадачи]]=""),"",IF(Таблица24[[#This Row],[Задачи]]="","     "&amp;$G17&amp;" "&amp;$I17&amp;$J17,$G17&amp;" "&amp;$I17&amp;$J17))</f>
        <v xml:space="preserve">     3.1 Ознакомился с найденной информацией </v>
      </c>
      <c r="I17" s="12"/>
      <c r="J17" s="20" t="s">
        <v>31</v>
      </c>
      <c r="K17" s="20"/>
      <c r="L17" s="12"/>
      <c r="M17" s="1"/>
      <c r="N17" s="1"/>
      <c r="O17" s="1"/>
      <c r="P17" s="8"/>
      <c r="Q17" s="6"/>
      <c r="Z17" t="str">
        <f>IF(Таблица24[[#This Row],[Подзадачи]]="",IF($Y17=TRUE,SoundMe2(),""),IF($Y17=TRUE,SoundMe(),""))</f>
        <v/>
      </c>
    </row>
    <row r="18" spans="1:26" outlineLevel="1" x14ac:dyDescent="0.25">
      <c r="A18" s="14" t="str">
        <f>IF('Список дел'!$I18&lt;&gt;"",MAX($A$1:A17)+1,"")</f>
        <v/>
      </c>
      <c r="B18" s="10">
        <f t="shared" si="1"/>
        <v>3.0199999999999996</v>
      </c>
      <c r="C18" s="10">
        <f t="shared" si="2"/>
        <v>3.0199999999999996</v>
      </c>
      <c r="D18" s="10">
        <f>TRUNC('Список дел'!$B18)</f>
        <v>3</v>
      </c>
      <c r="E18" s="10">
        <f>'Список дел'!$B18-'Список дел'!$D18</f>
        <v>1.9999999999999574E-2</v>
      </c>
      <c r="F18" s="10">
        <f>'Список дел'!$E18*100</f>
        <v>1.9999999999999574</v>
      </c>
      <c r="G18" s="10" t="str">
        <f>'Список дел'!$D18&amp;"."&amp;TEXT('Список дел'!$F18,"#")</f>
        <v>3.2</v>
      </c>
      <c r="H18" s="12" t="str">
        <f>IF(AND(Таблица24[[#This Row],[Задачи]]="",Таблица24[[#This Row],[Подзадачи]]=""),"",IF(Таблица24[[#This Row],[Задачи]]="","     "&amp;$G18&amp;" "&amp;$I18&amp;$J18,$G18&amp;" "&amp;$I18&amp;$J18))</f>
        <v xml:space="preserve">     3.2 Выделил основные моменты в отдельный документ</v>
      </c>
      <c r="I18" s="12"/>
      <c r="J18" s="20" t="s">
        <v>32</v>
      </c>
      <c r="K18" s="20"/>
      <c r="L18" s="12"/>
      <c r="M18" s="1"/>
      <c r="N18" s="1"/>
      <c r="O18" s="1"/>
      <c r="P18" s="8"/>
      <c r="Q18" s="6"/>
      <c r="Z18" t="str">
        <f>IF(Таблица24[[#This Row],[Подзадачи]]="",IF($Y18=TRUE,SoundMe2(),""),IF($Y18=TRUE,SoundMe(),""))</f>
        <v/>
      </c>
    </row>
    <row r="19" spans="1:26" outlineLevel="1" x14ac:dyDescent="0.25">
      <c r="A19" s="14" t="str">
        <f>IF('Список дел'!$I19&lt;&gt;"",MAX($A$1:A18)+1,"")</f>
        <v/>
      </c>
      <c r="B19" s="10">
        <f t="shared" si="1"/>
        <v>3.0299999999999994</v>
      </c>
      <c r="C19" s="10">
        <f t="shared" si="2"/>
        <v>3.0299999999999994</v>
      </c>
      <c r="D19" s="10">
        <f>TRUNC('Список дел'!$B19)</f>
        <v>3</v>
      </c>
      <c r="E19" s="10">
        <f>'Список дел'!$B19-'Список дел'!$D19</f>
        <v>2.9999999999999361E-2</v>
      </c>
      <c r="F19" s="10">
        <f>'Список дел'!$E19*100</f>
        <v>2.9999999999999361</v>
      </c>
      <c r="G19" s="10" t="str">
        <f>'Список дел'!$D19&amp;"."&amp;TEXT('Список дел'!$F19,"#")</f>
        <v>3.3</v>
      </c>
      <c r="H19" s="12" t="str">
        <f>IF(AND(Таблица24[[#This Row],[Задачи]]="",Таблица24[[#This Row],[Подзадачи]]=""),"",IF(Таблица24[[#This Row],[Задачи]]="","     "&amp;$G19&amp;" "&amp;$I19&amp;$J19,$G19&amp;" "&amp;$I19&amp;$J19))</f>
        <v xml:space="preserve">     3.3 Пропорционально подсчитал трудозатраты по внедрению ERP в стан</v>
      </c>
      <c r="I19" s="12"/>
      <c r="J19" s="20" t="s">
        <v>33</v>
      </c>
      <c r="K19" s="20"/>
      <c r="L19" s="12"/>
      <c r="M19" s="1"/>
      <c r="N19" s="1"/>
      <c r="O19" s="1"/>
      <c r="P19" s="8"/>
      <c r="Q19" s="6"/>
      <c r="Z19" t="str">
        <f>IF(Таблица24[[#This Row],[Подзадачи]]="",IF($Y19=TRUE,SoundMe2(),""),IF($Y19=TRUE,SoundMe(),""))</f>
        <v/>
      </c>
    </row>
    <row r="20" spans="1:26" outlineLevel="1" x14ac:dyDescent="0.25">
      <c r="A20" s="14" t="str">
        <f>IF('Список дел'!$I20&lt;&gt;"",MAX($A$1:A19)+1,"")</f>
        <v/>
      </c>
      <c r="B20" s="10">
        <f t="shared" si="1"/>
        <v>3.0399999999999991</v>
      </c>
      <c r="C20" s="10">
        <f t="shared" si="2"/>
        <v>3.0399999999999991</v>
      </c>
      <c r="D20" s="10">
        <f>TRUNC('Список дел'!$B20)</f>
        <v>3</v>
      </c>
      <c r="E20" s="10">
        <f>'Список дел'!$B20-'Список дел'!$D20</f>
        <v>3.9999999999999147E-2</v>
      </c>
      <c r="F20" s="10">
        <f>'Список дел'!$E20*100</f>
        <v>3.9999999999999147</v>
      </c>
      <c r="G20" s="10" t="str">
        <f>'Список дел'!$D20&amp;"."&amp;TEXT('Список дел'!$F20,"#")</f>
        <v>3.4</v>
      </c>
      <c r="H20" s="12" t="str">
        <f>IF(AND(Таблица24[[#This Row],[Задачи]]="",Таблица24[[#This Row],[Подзадачи]]=""),"",IF(Таблица24[[#This Row],[Задачи]]="","     "&amp;$G20&amp;" "&amp;$I20&amp;$J20,$G20&amp;" "&amp;$I20&amp;$J20))</f>
        <v xml:space="preserve">     3.4 Обсудил опыт с Геннадием</v>
      </c>
      <c r="I20" s="12"/>
      <c r="J20" s="20" t="s">
        <v>34</v>
      </c>
      <c r="K20" s="20"/>
      <c r="L20" s="12"/>
      <c r="M20" s="1"/>
      <c r="N20" s="1"/>
      <c r="O20" s="1"/>
      <c r="P20" s="8"/>
      <c r="Q20" s="6"/>
      <c r="Z20" t="str">
        <f>IF(Таблица24[[#This Row],[Подзадачи]]="",IF($Y20=TRUE,SoundMe2(),""),IF($Y20=TRUE,SoundMe(),""))</f>
        <v/>
      </c>
    </row>
    <row r="21" spans="1:26" outlineLevel="1" x14ac:dyDescent="0.25">
      <c r="A21" s="14" t="str">
        <f>IF('Список дел'!$I21&lt;&gt;"",MAX($A$1:A20)+1,"")</f>
        <v/>
      </c>
      <c r="B21" s="10">
        <f t="shared" si="1"/>
        <v>3.0499999999999989</v>
      </c>
      <c r="C21" s="10">
        <f t="shared" si="2"/>
        <v>3.0499999999999989</v>
      </c>
      <c r="D21" s="10">
        <f>TRUNC('Список дел'!$B21)</f>
        <v>3</v>
      </c>
      <c r="E21" s="10">
        <f>'Список дел'!$B21-'Список дел'!$D21</f>
        <v>4.9999999999998934E-2</v>
      </c>
      <c r="F21" s="10">
        <f>'Список дел'!$E21*100</f>
        <v>4.9999999999998934</v>
      </c>
      <c r="G21" s="10" t="str">
        <f>'Список дел'!$D21&amp;"."&amp;TEXT('Список дел'!$F21,"#")</f>
        <v>3.5</v>
      </c>
      <c r="H21" s="12" t="str">
        <f>IF(AND(Таблица24[[#This Row],[Задачи]]="",Таблица24[[#This Row],[Подзадачи]]=""),"",IF(Таблица24[[#This Row],[Задачи]]="","     "&amp;$G21&amp;" "&amp;$I21&amp;$J21,$G21&amp;" "&amp;$I21&amp;$J21))</f>
        <v xml:space="preserve">     3.5 Составил план внедрения ERP в СТАН</v>
      </c>
      <c r="I21" s="12"/>
      <c r="J21" s="20" t="s">
        <v>35</v>
      </c>
      <c r="K21" s="20"/>
      <c r="L21" s="12"/>
      <c r="M21" s="1"/>
      <c r="N21" s="1"/>
      <c r="O21" s="1"/>
      <c r="P21" s="8"/>
      <c r="Q21" s="6"/>
      <c r="Z21" t="str">
        <f>IF(Таблица24[[#This Row],[Подзадачи]]="",IF($Y21=TRUE,SoundMe2(),""),IF($Y21=TRUE,SoundMe(),""))</f>
        <v/>
      </c>
    </row>
    <row r="22" spans="1:26" x14ac:dyDescent="0.25">
      <c r="A22" s="14">
        <f>IF('Список дел'!$I22&lt;&gt;"",MAX($A$1:A21)+1,"")</f>
        <v>4</v>
      </c>
      <c r="B22" s="10">
        <f t="shared" si="1"/>
        <v>4</v>
      </c>
      <c r="C22" s="10">
        <f t="shared" si="2"/>
        <v>4</v>
      </c>
      <c r="D22" s="10">
        <f>TRUNC('Список дел'!$B22)</f>
        <v>4</v>
      </c>
      <c r="E22" s="10">
        <f>'Список дел'!$B22-'Список дел'!$D22</f>
        <v>0</v>
      </c>
      <c r="F22" s="10">
        <f>'Список дел'!$E22*100</f>
        <v>0</v>
      </c>
      <c r="G22" s="10" t="str">
        <f>'Список дел'!$D22&amp;"."&amp;TEXT('Список дел'!$F22,"#")</f>
        <v>4.</v>
      </c>
      <c r="H22" s="12" t="str">
        <f>IF(AND(Таблица24[[#This Row],[Задачи]]="",Таблица24[[#This Row],[Подзадачи]]=""),"",IF(Таблица24[[#This Row],[Задачи]]="","     "&amp;$G22&amp;" "&amp;$I22&amp;$J22,$G22&amp;" "&amp;$I22&amp;$J22))</f>
        <v>4. Решил организационные вопросы нового сотрудника</v>
      </c>
      <c r="I22" s="20" t="s">
        <v>36</v>
      </c>
      <c r="J22" s="12"/>
      <c r="K22" s="12" t="s">
        <v>48</v>
      </c>
      <c r="L22" s="12">
        <v>1</v>
      </c>
      <c r="M22" s="1"/>
      <c r="N22" s="1"/>
      <c r="O22" s="1"/>
      <c r="P22" s="8"/>
      <c r="Q22" s="6"/>
      <c r="Z22" t="str">
        <f>IF(Таблица24[[#This Row],[Подзадачи]]="",IF($Y22=TRUE,SoundMe2(),""),IF($Y22=TRUE,SoundMe(),""))</f>
        <v/>
      </c>
    </row>
    <row r="23" spans="1:26" outlineLevel="1" x14ac:dyDescent="0.25">
      <c r="A23" s="14" t="str">
        <f>IF('Список дел'!$I23&lt;&gt;"",MAX($A$1:A22)+1,"")</f>
        <v/>
      </c>
      <c r="B23" s="10">
        <f t="shared" si="1"/>
        <v>4.01</v>
      </c>
      <c r="C23" s="10">
        <f t="shared" si="2"/>
        <v>4.01</v>
      </c>
      <c r="D23" s="10">
        <f>TRUNC('Список дел'!$B23)</f>
        <v>4</v>
      </c>
      <c r="E23" s="10">
        <f>'Список дел'!$B23-'Список дел'!$D23</f>
        <v>9.9999999999997868E-3</v>
      </c>
      <c r="F23" s="10">
        <f>'Список дел'!$E23*100</f>
        <v>0.99999999999997868</v>
      </c>
      <c r="G23" s="10" t="str">
        <f>'Список дел'!$D23&amp;"."&amp;TEXT('Список дел'!$F23,"#")</f>
        <v>4.1</v>
      </c>
      <c r="H23" s="12" t="str">
        <f>IF(AND(Таблица24[[#This Row],[Задачи]]="",Таблица24[[#This Row],[Подзадачи]]=""),"",IF(Таблица24[[#This Row],[Задачи]]="","     "&amp;$G23&amp;" "&amp;$I23&amp;$J23,$G23&amp;" "&amp;$I23&amp;$J23))</f>
        <v xml:space="preserve">     4.1 Получил список локальной нормативной документации Стантех</v>
      </c>
      <c r="I23" s="12"/>
      <c r="J23" s="20" t="s">
        <v>37</v>
      </c>
      <c r="K23" s="20"/>
      <c r="L23" s="12"/>
      <c r="M23" s="1"/>
      <c r="N23" s="1"/>
      <c r="O23" s="1"/>
      <c r="P23" s="8"/>
      <c r="Q23" s="6"/>
      <c r="Z23" t="str">
        <f>IF(Таблица24[[#This Row],[Подзадачи]]="",IF($Y23=TRUE,SoundMe2(),""),IF($Y23=TRUE,SoundMe(),""))</f>
        <v/>
      </c>
    </row>
    <row r="24" spans="1:26" outlineLevel="1" x14ac:dyDescent="0.25">
      <c r="A24" s="14" t="str">
        <f>IF('Список дел'!$I24&lt;&gt;"",MAX($A$1:A23)+1,"")</f>
        <v/>
      </c>
      <c r="B24" s="10">
        <f t="shared" si="1"/>
        <v>4.0199999999999996</v>
      </c>
      <c r="C24" s="10">
        <f t="shared" si="2"/>
        <v>4.0199999999999996</v>
      </c>
      <c r="D24" s="10">
        <f>TRUNC('Список дел'!$B24)</f>
        <v>4</v>
      </c>
      <c r="E24" s="10">
        <f>'Список дел'!$B24-'Список дел'!$D24</f>
        <v>1.9999999999999574E-2</v>
      </c>
      <c r="F24" s="10">
        <f>'Список дел'!$E24*100</f>
        <v>1.9999999999999574</v>
      </c>
      <c r="G24" s="10" t="str">
        <f>'Список дел'!$D24&amp;"."&amp;TEXT('Список дел'!$F24,"#")</f>
        <v>4.2</v>
      </c>
      <c r="H24" s="12" t="str">
        <f>IF(AND(Таблица24[[#This Row],[Задачи]]="",Таблица24[[#This Row],[Подзадачи]]=""),"",IF(Таблица24[[#This Row],[Задачи]]="","     "&amp;$G24&amp;" "&amp;$I24&amp;$J24,$G24&amp;" "&amp;$I24&amp;$J24))</f>
        <v xml:space="preserve">     4.2 Получил пропуск</v>
      </c>
      <c r="I24" s="12"/>
      <c r="J24" s="20" t="s">
        <v>38</v>
      </c>
      <c r="K24" s="20"/>
      <c r="L24" s="12"/>
      <c r="M24" s="1"/>
      <c r="N24" s="1"/>
      <c r="O24" s="1"/>
      <c r="P24" s="8"/>
      <c r="Q24" s="6"/>
      <c r="Z24" t="str">
        <f>IF(Таблица24[[#This Row],[Подзадачи]]="",IF($Y24=TRUE,SoundMe2(),""),IF($Y24=TRUE,SoundMe(),""))</f>
        <v/>
      </c>
    </row>
    <row r="25" spans="1:26" outlineLevel="1" x14ac:dyDescent="0.25">
      <c r="A25" s="14" t="str">
        <f>IF('Список дел'!$I25&lt;&gt;"",MAX($A$1:A24)+1,"")</f>
        <v/>
      </c>
      <c r="B25" s="10">
        <f t="shared" si="1"/>
        <v>4.0299999999999994</v>
      </c>
      <c r="C25" s="10">
        <f t="shared" si="2"/>
        <v>4.0299999999999994</v>
      </c>
      <c r="D25" s="10">
        <f>TRUNC('Список дел'!$B25)</f>
        <v>4</v>
      </c>
      <c r="E25" s="10">
        <f>'Список дел'!$B25-'Список дел'!$D25</f>
        <v>2.9999999999999361E-2</v>
      </c>
      <c r="F25" s="10">
        <f>'Список дел'!$E25*100</f>
        <v>2.9999999999999361</v>
      </c>
      <c r="G25" s="10" t="str">
        <f>'Список дел'!$D25&amp;"."&amp;TEXT('Список дел'!$F25,"#")</f>
        <v>4.3</v>
      </c>
      <c r="H25" s="12" t="str">
        <f>IF(AND(Таблица24[[#This Row],[Задачи]]="",Таблица24[[#This Row],[Подзадачи]]=""),"",IF(Таблица24[[#This Row],[Задачи]]="","     "&amp;$G25&amp;" "&amp;$I25&amp;$J25,$G25&amp;" "&amp;$I25&amp;$J25))</f>
        <v xml:space="preserve">     4.3 Узнал к кому обращаться по поводу канцелярии</v>
      </c>
      <c r="I25" s="12"/>
      <c r="J25" s="20" t="s">
        <v>39</v>
      </c>
      <c r="K25" s="20"/>
      <c r="L25" s="12"/>
      <c r="M25" s="1"/>
      <c r="N25" s="1"/>
      <c r="O25" s="1"/>
      <c r="P25" s="1"/>
      <c r="Q25" s="6"/>
      <c r="Z25" t="str">
        <f>IF(Таблица24[[#This Row],[Подзадачи]]="",IF($Y25=TRUE,SoundMe2(),""),IF($Y25=TRUE,SoundMe(),""))</f>
        <v/>
      </c>
    </row>
    <row r="26" spans="1:26" outlineLevel="1" x14ac:dyDescent="0.25">
      <c r="A26" s="14" t="str">
        <f>IF('Список дел'!$I26&lt;&gt;"",MAX($A$1:A25)+1,"")</f>
        <v/>
      </c>
      <c r="B26" s="10">
        <f t="shared" si="1"/>
        <v>4.0399999999999991</v>
      </c>
      <c r="C26" s="10">
        <f t="shared" si="2"/>
        <v>4.0399999999999991</v>
      </c>
      <c r="D26" s="10">
        <f>TRUNC('Список дел'!$B26)</f>
        <v>4</v>
      </c>
      <c r="E26" s="10">
        <f>'Список дел'!$B26-'Список дел'!$D26</f>
        <v>3.9999999999999147E-2</v>
      </c>
      <c r="F26" s="10">
        <f>'Список дел'!$E26*100</f>
        <v>3.9999999999999147</v>
      </c>
      <c r="G26" s="10" t="str">
        <f>'Список дел'!$D26&amp;"."&amp;TEXT('Список дел'!$F26,"#")</f>
        <v>4.4</v>
      </c>
      <c r="H26" s="12" t="str">
        <f>IF(AND(Таблица24[[#This Row],[Задачи]]="",Таблица24[[#This Row],[Подзадачи]]=""),"",IF(Таблица24[[#This Row],[Задачи]]="","     "&amp;$G26&amp;" "&amp;$I26&amp;$J26,$G26&amp;" "&amp;$I26&amp;$J26))</f>
        <v xml:space="preserve">     4.4 Разобрался с принтером и сканером</v>
      </c>
      <c r="I26" s="12"/>
      <c r="J26" s="20" t="s">
        <v>40</v>
      </c>
      <c r="K26" s="20"/>
      <c r="L26" s="12"/>
      <c r="M26" s="1"/>
      <c r="N26" s="1"/>
      <c r="O26" s="1"/>
      <c r="P26" s="8"/>
      <c r="Q26" s="6"/>
      <c r="Z26" t="str">
        <f>IF(Таблица24[[#This Row],[Подзадачи]]="",IF($Y26=TRUE,SoundMe2(),""),IF($Y26=TRUE,SoundMe(),""))</f>
        <v/>
      </c>
    </row>
    <row r="27" spans="1:26" outlineLevel="1" x14ac:dyDescent="0.25">
      <c r="A27" s="14" t="str">
        <f>IF('Список дел'!$I27&lt;&gt;"",MAX($A$1:A26)+1,"")</f>
        <v/>
      </c>
      <c r="B27" s="10">
        <f t="shared" si="1"/>
        <v>4.0499999999999989</v>
      </c>
      <c r="C27" s="10">
        <f t="shared" si="2"/>
        <v>4.0499999999999989</v>
      </c>
      <c r="D27" s="10">
        <f>TRUNC('Список дел'!$B27)</f>
        <v>4</v>
      </c>
      <c r="E27" s="10">
        <f>'Список дел'!$B27-'Список дел'!$D27</f>
        <v>4.9999999999998934E-2</v>
      </c>
      <c r="F27" s="10">
        <f>'Список дел'!$E27*100</f>
        <v>4.9999999999998934</v>
      </c>
      <c r="G27" s="10" t="str">
        <f>'Список дел'!$D27&amp;"."&amp;TEXT('Список дел'!$F27,"#")</f>
        <v>4.5</v>
      </c>
      <c r="H27" s="12" t="str">
        <f>IF(AND(Таблица24[[#This Row],[Задачи]]="",Таблица24[[#This Row],[Подзадачи]]=""),"",IF(Таблица24[[#This Row],[Задачи]]="","     "&amp;$G27&amp;" "&amp;$I27&amp;$J27,$G27&amp;" "&amp;$I27&amp;$J27))</f>
        <v xml:space="preserve">     4.5 Получил трудовой договор и справку</v>
      </c>
      <c r="I27" s="12"/>
      <c r="J27" s="20" t="s">
        <v>49</v>
      </c>
      <c r="K27" s="20"/>
      <c r="L27" s="12"/>
      <c r="M27" s="1"/>
      <c r="N27" s="1"/>
      <c r="O27" s="1"/>
      <c r="P27" s="1"/>
      <c r="Q27" s="6"/>
      <c r="Z27" t="str">
        <f>IF(Таблица24[[#This Row],[Подзадачи]]="",IF($Y27=TRUE,SoundMe2(),""),IF($Y27=TRUE,SoundMe(),""))</f>
        <v/>
      </c>
    </row>
    <row r="28" spans="1:26" x14ac:dyDescent="0.25">
      <c r="A28" s="14">
        <f>IF('Список дел'!$I28&lt;&gt;"",MAX($A$1:A27)+1,"")</f>
        <v>5</v>
      </c>
      <c r="B28" s="10">
        <f t="shared" si="1"/>
        <v>5</v>
      </c>
      <c r="C28" s="10">
        <f t="shared" si="2"/>
        <v>5</v>
      </c>
      <c r="D28" s="10">
        <f>TRUNC('Список дел'!$B28)</f>
        <v>5</v>
      </c>
      <c r="E28" s="10">
        <f>'Список дел'!$B28-'Список дел'!$D28</f>
        <v>0</v>
      </c>
      <c r="F28" s="10">
        <f>'Список дел'!$E28*100</f>
        <v>0</v>
      </c>
      <c r="G28" s="10" t="str">
        <f>'Список дел'!$D28&amp;"."&amp;TEXT('Список дел'!$F28,"#")</f>
        <v>5.</v>
      </c>
      <c r="H28" s="12" t="str">
        <f>IF(AND(Таблица24[[#This Row],[Задачи]]="",Таблица24[[#This Row],[Подзадачи]]=""),"",IF(Таблица24[[#This Row],[Задачи]]="","     "&amp;$G28&amp;" "&amp;$I28&amp;$J28,$G28&amp;" "&amp;$I28&amp;$J28))</f>
        <v>5. Качества руководителя</v>
      </c>
      <c r="I28" s="20" t="s">
        <v>25</v>
      </c>
      <c r="J28" s="12"/>
      <c r="K28" s="12" t="s">
        <v>48</v>
      </c>
      <c r="L28" s="12">
        <v>2</v>
      </c>
      <c r="M28" s="1"/>
      <c r="N28" s="1"/>
      <c r="O28" s="1"/>
      <c r="P28" s="8"/>
      <c r="Q28" s="6"/>
      <c r="Z28" t="str">
        <f>IF(Таблица24[[#This Row],[Подзадачи]]="",IF($Y28=TRUE,SoundMe2(),""),IF($Y28=TRUE,SoundMe(),""))</f>
        <v/>
      </c>
    </row>
    <row r="29" spans="1:26" outlineLevel="1" x14ac:dyDescent="0.25">
      <c r="A29" s="14" t="str">
        <f>IF('Список дел'!$I29&lt;&gt;"",MAX($A$1:A28)+1,"")</f>
        <v/>
      </c>
      <c r="B29" s="10">
        <f t="shared" si="1"/>
        <v>5.01</v>
      </c>
      <c r="C29" s="10">
        <f t="shared" si="2"/>
        <v>5.01</v>
      </c>
      <c r="D29" s="10">
        <f>TRUNC('Список дел'!$B29)</f>
        <v>5</v>
      </c>
      <c r="E29" s="10">
        <f>'Список дел'!$B29-'Список дел'!$D29</f>
        <v>9.9999999999997868E-3</v>
      </c>
      <c r="F29" s="10">
        <f>'Список дел'!$E29*100</f>
        <v>0.99999999999997868</v>
      </c>
      <c r="G29" s="10" t="str">
        <f>'Список дел'!$D29&amp;"."&amp;TEXT('Список дел'!$F29,"#")</f>
        <v>5.1</v>
      </c>
      <c r="H29" s="12" t="str">
        <f>IF(AND(Таблица24[[#This Row],[Задачи]]="",Таблица24[[#This Row],[Подзадачи]]=""),"",IF(Таблица24[[#This Row],[Задачи]]="","     "&amp;$G29&amp;" "&amp;$I29&amp;$J29,$G29&amp;" "&amp;$I29&amp;$J29))</f>
        <v xml:space="preserve">     5.1 Выделил перечень качеств проверяемых на проверке на включение в УКР</v>
      </c>
      <c r="I29" s="12"/>
      <c r="J29" s="12" t="s">
        <v>41</v>
      </c>
      <c r="K29" s="12"/>
      <c r="L29" s="12"/>
      <c r="M29" s="1"/>
      <c r="N29" s="1"/>
      <c r="O29" s="1"/>
      <c r="P29" s="8"/>
      <c r="Q29" s="6"/>
      <c r="Z29" t="str">
        <f>IF(Таблица24[[#This Row],[Подзадачи]]="",IF($Y29=TRUE,SoundMe2(),""),IF($Y29=TRUE,SoundMe(),""))</f>
        <v/>
      </c>
    </row>
    <row r="30" spans="1:26" outlineLevel="1" x14ac:dyDescent="0.25">
      <c r="A30" s="14" t="str">
        <f>IF('Список дел'!$I30&lt;&gt;"",MAX($A$1:A29)+1,"")</f>
        <v/>
      </c>
      <c r="B30" s="10">
        <f t="shared" si="1"/>
        <v>5.0199999999999996</v>
      </c>
      <c r="C30" s="10">
        <f t="shared" si="2"/>
        <v>5.0199999999999996</v>
      </c>
      <c r="D30" s="10">
        <f>TRUNC('Список дел'!$B30)</f>
        <v>5</v>
      </c>
      <c r="E30" s="10">
        <f>'Список дел'!$B30-'Список дел'!$D30</f>
        <v>1.9999999999999574E-2</v>
      </c>
      <c r="F30" s="10">
        <f>'Список дел'!$E30*100</f>
        <v>1.9999999999999574</v>
      </c>
      <c r="G30" s="10" t="str">
        <f>'Список дел'!$D30&amp;"."&amp;TEXT('Список дел'!$F30,"#")</f>
        <v>5.2</v>
      </c>
      <c r="H30" s="12" t="str">
        <f>IF(AND(Таблица24[[#This Row],[Задачи]]="",Таблица24[[#This Row],[Подзадачи]]=""),"",IF(Таблица24[[#This Row],[Задачи]]="","     "&amp;$G30&amp;" "&amp;$I30&amp;$J30,$G30&amp;" "&amp;$I30&amp;$J30))</f>
        <v xml:space="preserve">     5.2 Подготовил список дел в данном направлении</v>
      </c>
      <c r="I30" s="12"/>
      <c r="J30" s="12" t="s">
        <v>42</v>
      </c>
      <c r="K30" s="12"/>
      <c r="L30" s="12"/>
      <c r="M30" s="1"/>
      <c r="N30" s="1"/>
      <c r="O30" s="1"/>
      <c r="P30" s="8"/>
      <c r="Q30" s="6"/>
      <c r="Z30" t="str">
        <f>IF(Таблица24[[#This Row],[Подзадачи]]="",IF($Y30=TRUE,SoundMe2(),""),IF($Y30=TRUE,SoundMe(),""))</f>
        <v/>
      </c>
    </row>
    <row r="31" spans="1:26" outlineLevel="1" x14ac:dyDescent="0.25">
      <c r="A31" s="14" t="str">
        <f>IF('Список дел'!$I31&lt;&gt;"",MAX($A$1:A30)+1,"")</f>
        <v/>
      </c>
      <c r="B31" s="10">
        <f t="shared" si="1"/>
        <v>5.0299999999999994</v>
      </c>
      <c r="C31" s="10">
        <f t="shared" si="2"/>
        <v>5.0299999999999994</v>
      </c>
      <c r="D31" s="10">
        <f>TRUNC('Список дел'!$B31)</f>
        <v>5</v>
      </c>
      <c r="E31" s="10">
        <f>'Список дел'!$B31-'Список дел'!$D31</f>
        <v>2.9999999999999361E-2</v>
      </c>
      <c r="F31" s="10">
        <f>'Список дел'!$E31*100</f>
        <v>2.9999999999999361</v>
      </c>
      <c r="G31" s="10" t="str">
        <f>'Список дел'!$D31&amp;"."&amp;TEXT('Список дел'!$F31,"#")</f>
        <v>5.3</v>
      </c>
      <c r="H31" s="12" t="str">
        <f>IF(AND(Таблица24[[#This Row],[Задачи]]="",Таблица24[[#This Row],[Подзадачи]]=""),"",IF(Таблица24[[#This Row],[Задачи]]="","     "&amp;$G31&amp;" "&amp;$I31&amp;$J31,$G31&amp;" "&amp;$I31&amp;$J31))</f>
        <v xml:space="preserve">     5.3 Обсудил с наставником</v>
      </c>
      <c r="I31" s="12"/>
      <c r="J31" s="12" t="s">
        <v>43</v>
      </c>
      <c r="K31" s="12"/>
      <c r="L31" s="12"/>
      <c r="M31" s="2"/>
      <c r="N31" s="2"/>
      <c r="O31" s="2"/>
      <c r="P31" s="9"/>
      <c r="Q31" s="6"/>
      <c r="Z31" t="str">
        <f>IF(Таблица24[[#This Row],[Подзадачи]]="",IF($Y31=TRUE,SoundMe2(),""),IF($Y31=TRUE,SoundMe(),""))</f>
        <v/>
      </c>
    </row>
    <row r="32" spans="1:26" x14ac:dyDescent="0.25">
      <c r="A32" s="14" t="str">
        <f>IF('Список дел'!$I32&lt;&gt;"",MAX($A$1:A31)+1,"")</f>
        <v/>
      </c>
      <c r="B32" s="10">
        <f t="shared" si="1"/>
        <v>5.0399999999999991</v>
      </c>
      <c r="C32" s="10">
        <f t="shared" si="2"/>
        <v>5.0399999999999991</v>
      </c>
      <c r="D32" s="10">
        <f>TRUNC('Список дел'!$B32)</f>
        <v>5</v>
      </c>
      <c r="E32" s="10">
        <f>'Список дел'!$B32-'Список дел'!$D32</f>
        <v>3.9999999999999147E-2</v>
      </c>
      <c r="F32" s="10">
        <f>'Список дел'!$E32*100</f>
        <v>3.9999999999999147</v>
      </c>
      <c r="G32" s="10" t="str">
        <f>'Список дел'!$D32&amp;"."&amp;TEXT('Список дел'!$F32,"#")</f>
        <v>5.4</v>
      </c>
      <c r="H32" s="12" t="str">
        <f>IF(AND(Таблица24[[#This Row],[Задачи]]="",Таблица24[[#This Row],[Подзадачи]]=""),"",IF(Таблица24[[#This Row],[Задачи]]="","     "&amp;$G32&amp;" "&amp;$I32&amp;$J32,$G32&amp;" "&amp;$I32&amp;$J32))</f>
        <v/>
      </c>
      <c r="I32" s="12"/>
      <c r="J32" s="12"/>
      <c r="K32" s="12"/>
      <c r="L32" s="12"/>
      <c r="M32" s="2"/>
      <c r="N32" s="2"/>
      <c r="O32" s="2"/>
      <c r="P32" s="9"/>
      <c r="Q32" s="6"/>
      <c r="Z32" t="str">
        <f>IF(Таблица24[[#This Row],[Подзадачи]]="",IF($Y32=TRUE,SoundMe2(),""),IF($Y32=TRUE,SoundMe(),""))</f>
        <v/>
      </c>
    </row>
    <row r="33" spans="1:26" x14ac:dyDescent="0.25">
      <c r="A33" s="14" t="str">
        <f>IF('Список дел'!$I33&lt;&gt;"",MAX($A$1:A32)+1,"")</f>
        <v/>
      </c>
      <c r="B33" s="10">
        <f t="shared" si="1"/>
        <v>5.0499999999999989</v>
      </c>
      <c r="C33" s="10">
        <f t="shared" si="2"/>
        <v>5.0499999999999989</v>
      </c>
      <c r="D33" s="10">
        <f>TRUNC('Список дел'!$B33)</f>
        <v>5</v>
      </c>
      <c r="E33" s="10">
        <f>'Список дел'!$B33-'Список дел'!$D33</f>
        <v>4.9999999999998934E-2</v>
      </c>
      <c r="F33" s="10">
        <f>'Список дел'!$E33*100</f>
        <v>4.9999999999998934</v>
      </c>
      <c r="G33" s="10" t="str">
        <f>'Список дел'!$D33&amp;"."&amp;TEXT('Список дел'!$F33,"#")</f>
        <v>5.5</v>
      </c>
      <c r="H33" s="12" t="str">
        <f>IF(AND(Таблица24[[#This Row],[Задачи]]="",Таблица24[[#This Row],[Подзадачи]]=""),"",IF(Таблица24[[#This Row],[Задачи]]="","     "&amp;$G33&amp;" "&amp;$I33&amp;$J33,$G33&amp;" "&amp;$I33&amp;$J33))</f>
        <v/>
      </c>
      <c r="I33" s="20"/>
      <c r="J33" s="12"/>
      <c r="K33" s="12"/>
      <c r="L33" s="12"/>
      <c r="M33" s="2"/>
      <c r="N33" s="2"/>
      <c r="O33" s="2"/>
      <c r="P33" s="9"/>
      <c r="Q33" s="6"/>
      <c r="Z33" t="str">
        <f>IF(Таблица24[[#This Row],[Подзадачи]]="",IF($Y33=TRUE,SoundMe2(),""),IF($Y33=TRUE,SoundMe(),""))</f>
        <v/>
      </c>
    </row>
    <row r="34" spans="1:26" x14ac:dyDescent="0.25">
      <c r="A34" s="14" t="str">
        <f>IF('Список дел'!$I34&lt;&gt;"",MAX($A$1:A33)+1,"")</f>
        <v/>
      </c>
      <c r="B34" s="10">
        <f t="shared" si="1"/>
        <v>5.0599999999999987</v>
      </c>
      <c r="C34" s="10">
        <f t="shared" si="2"/>
        <v>5.0599999999999987</v>
      </c>
      <c r="D34" s="10">
        <f>TRUNC('Список дел'!$B34)</f>
        <v>5</v>
      </c>
      <c r="E34" s="10">
        <f>'Список дел'!$B34-'Список дел'!$D34</f>
        <v>5.9999999999998721E-2</v>
      </c>
      <c r="F34" s="10">
        <f>'Список дел'!$E34*100</f>
        <v>5.9999999999998721</v>
      </c>
      <c r="G34" s="10" t="str">
        <f>'Список дел'!$D34&amp;"."&amp;TEXT('Список дел'!$F34,"#")</f>
        <v>5.6</v>
      </c>
      <c r="H34" s="12" t="str">
        <f>IF(AND(Таблица24[[#This Row],[Задачи]]="",Таблица24[[#This Row],[Подзадачи]]=""),"",IF(Таблица24[[#This Row],[Задачи]]="","     "&amp;$G34&amp;" "&amp;$I34&amp;$J34,$G34&amp;" "&amp;$I34&amp;$J34))</f>
        <v/>
      </c>
      <c r="I34" s="12"/>
      <c r="J34" s="20"/>
      <c r="K34" s="20"/>
      <c r="L34" s="12"/>
      <c r="M34" s="2"/>
      <c r="N34" s="2"/>
      <c r="O34" s="2"/>
      <c r="P34" s="9"/>
      <c r="Q34" s="6"/>
      <c r="Z34" t="str">
        <f>IF(Таблица24[[#This Row],[Подзадачи]]="",IF($Y34=TRUE,SoundMe2(),""),IF($Y34=TRUE,SoundMe(),""))</f>
        <v/>
      </c>
    </row>
    <row r="35" spans="1:26" x14ac:dyDescent="0.25">
      <c r="A35" s="14" t="str">
        <f>IF('Список дел'!$I35&lt;&gt;"",MAX($A$1:A34)+1,"")</f>
        <v/>
      </c>
      <c r="B35" s="10">
        <f t="shared" si="1"/>
        <v>5.0699999999999985</v>
      </c>
      <c r="C35" s="10">
        <f t="shared" si="2"/>
        <v>5.0699999999999985</v>
      </c>
      <c r="D35" s="10">
        <f>TRUNC('Список дел'!$B35)</f>
        <v>5</v>
      </c>
      <c r="E35" s="10">
        <f>'Список дел'!$B35-'Список дел'!$D35</f>
        <v>6.9999999999998508E-2</v>
      </c>
      <c r="F35" s="10">
        <f>'Список дел'!$E35*100</f>
        <v>6.9999999999998508</v>
      </c>
      <c r="G35" s="10" t="str">
        <f>'Список дел'!$D35&amp;"."&amp;TEXT('Список дел'!$F35,"#")</f>
        <v>5.7</v>
      </c>
      <c r="H35" s="12" t="str">
        <f>IF(AND(Таблица24[[#This Row],[Задачи]]="",Таблица24[[#This Row],[Подзадачи]]=""),"",IF(Таблица24[[#This Row],[Задачи]]="","     "&amp;$G35&amp;" "&amp;$I35&amp;$J35,$G35&amp;" "&amp;$I35&amp;$J35))</f>
        <v/>
      </c>
      <c r="I35" s="12"/>
      <c r="J35" s="20"/>
      <c r="K35" s="20"/>
      <c r="L35" s="12"/>
      <c r="M35" s="2"/>
      <c r="N35" s="2"/>
      <c r="O35" s="2"/>
      <c r="P35" s="9"/>
      <c r="Q35" s="6"/>
      <c r="Z35" t="str">
        <f>IF(Таблица24[[#This Row],[Подзадачи]]="",IF($Y35=TRUE,SoundMe2(),""),IF($Y35=TRUE,SoundMe(),""))</f>
        <v/>
      </c>
    </row>
    <row r="36" spans="1:26" x14ac:dyDescent="0.25">
      <c r="A36" s="14" t="str">
        <f>IF('Список дел'!$I36&lt;&gt;"",MAX($A$1:A35)+1,"")</f>
        <v/>
      </c>
      <c r="B36" s="10">
        <f t="shared" si="1"/>
        <v>5.0799999999999983</v>
      </c>
      <c r="C36" s="10">
        <f t="shared" si="2"/>
        <v>5.0799999999999983</v>
      </c>
      <c r="D36" s="10">
        <f>TRUNC('Список дел'!$B36)</f>
        <v>5</v>
      </c>
      <c r="E36" s="10">
        <f>'Список дел'!$B36-'Список дел'!$D36</f>
        <v>7.9999999999998295E-2</v>
      </c>
      <c r="F36" s="10">
        <f>'Список дел'!$E36*100</f>
        <v>7.9999999999998295</v>
      </c>
      <c r="G36" s="10" t="str">
        <f>'Список дел'!$D36&amp;"."&amp;TEXT('Список дел'!$F36,"#")</f>
        <v>5.8</v>
      </c>
      <c r="H36" s="12" t="str">
        <f>IF(AND(Таблица24[[#This Row],[Задачи]]="",Таблица24[[#This Row],[Подзадачи]]=""),"",IF(Таблица24[[#This Row],[Задачи]]="","     "&amp;$G36&amp;" "&amp;$I36&amp;$J36,$G36&amp;" "&amp;$I36&amp;$J36))</f>
        <v/>
      </c>
      <c r="I36" s="12"/>
      <c r="J36" s="20"/>
      <c r="K36" s="20"/>
      <c r="L36" s="12"/>
      <c r="M36" s="2"/>
      <c r="N36" s="2"/>
      <c r="O36" s="2"/>
      <c r="P36" s="9"/>
      <c r="Q36" s="6"/>
      <c r="Z36" t="str">
        <f>IF(Таблица24[[#This Row],[Подзадачи]]="",IF($Y36=TRUE,SoundMe2(),""),IF($Y36=TRUE,SoundMe(),""))</f>
        <v/>
      </c>
    </row>
    <row r="37" spans="1:26" x14ac:dyDescent="0.25">
      <c r="A37" s="14" t="str">
        <f>IF('Список дел'!$I37&lt;&gt;"",MAX($A$1:A36)+1,"")</f>
        <v/>
      </c>
      <c r="B37" s="10" t="e">
        <f>IF(A37&lt;&gt;"",A37,#REF!+0.01)</f>
        <v>#REF!</v>
      </c>
      <c r="C37" s="10" t="e">
        <f>IF(B37&lt;&gt;"",B37,#REF!+0.01)</f>
        <v>#REF!</v>
      </c>
      <c r="D37" s="10" t="e">
        <f>TRUNC('Список дел'!$B37)</f>
        <v>#REF!</v>
      </c>
      <c r="E37" s="10" t="e">
        <f>'Список дел'!$B37-'Список дел'!$D37</f>
        <v>#REF!</v>
      </c>
      <c r="F37" s="10" t="e">
        <f>'Список дел'!$E37*100</f>
        <v>#REF!</v>
      </c>
      <c r="G37" s="10" t="e">
        <f>'Список дел'!$D37&amp;"."&amp;TEXT('Список дел'!$F37,"#")</f>
        <v>#REF!</v>
      </c>
      <c r="H37" s="12" t="str">
        <f>IF(AND(Таблица24[[#This Row],[Задачи]]="",Таблица24[[#This Row],[Подзадачи]]=""),"",IF(Таблица24[[#This Row],[Задачи]]="","     "&amp;$G37&amp;" "&amp;$I37&amp;$J37,$G37&amp;" "&amp;$I37&amp;$J37))</f>
        <v/>
      </c>
      <c r="I37" s="20"/>
      <c r="J37" s="12"/>
      <c r="K37" s="12"/>
      <c r="L37" s="12"/>
      <c r="M37" s="1"/>
      <c r="N37" s="1"/>
      <c r="O37" s="1"/>
      <c r="P37" s="1"/>
      <c r="Q37" s="6"/>
      <c r="Z37" t="str">
        <f>IF(Таблица24[[#This Row],[Подзадачи]]="",IF($Y37=TRUE,SoundMe2(),""),IF($Y37=TRUE,SoundMe(),""))</f>
        <v/>
      </c>
    </row>
    <row r="38" spans="1:26" x14ac:dyDescent="0.25">
      <c r="A38" s="14" t="str">
        <f>IF('Список дел'!$I38&lt;&gt;"",MAX($A$1:A37)+1,"")</f>
        <v/>
      </c>
      <c r="B38" s="10" t="e">
        <f t="shared" si="1"/>
        <v>#REF!</v>
      </c>
      <c r="C38" s="10" t="e">
        <f t="shared" si="2"/>
        <v>#REF!</v>
      </c>
      <c r="D38" s="10" t="e">
        <f>TRUNC('Список дел'!$B38)</f>
        <v>#REF!</v>
      </c>
      <c r="E38" s="10" t="e">
        <f>'Список дел'!$B38-'Список дел'!$D38</f>
        <v>#REF!</v>
      </c>
      <c r="F38" s="10" t="e">
        <f>'Список дел'!$E38*100</f>
        <v>#REF!</v>
      </c>
      <c r="G38" s="10" t="e">
        <f>'Список дел'!$D38&amp;"."&amp;TEXT('Список дел'!$F38,"#")</f>
        <v>#REF!</v>
      </c>
      <c r="H38" s="12" t="str">
        <f>IF(AND(Таблица24[[#This Row],[Задачи]]="",Таблица24[[#This Row],[Подзадачи]]=""),"",IF(Таблица24[[#This Row],[Задачи]]="","     "&amp;$G38&amp;" "&amp;$I38&amp;$J38,$G38&amp;" "&amp;$I38&amp;$J38))</f>
        <v/>
      </c>
      <c r="I38" s="12"/>
      <c r="J38" s="20"/>
      <c r="K38" s="20"/>
      <c r="L38" s="12"/>
      <c r="M38" s="2"/>
      <c r="N38" s="2"/>
      <c r="O38" s="2"/>
      <c r="P38" s="9"/>
      <c r="Q38" s="6"/>
      <c r="Z38" t="str">
        <f>IF(Таблица24[[#This Row],[Подзадачи]]="",IF($Y38=TRUE,SoundMe2(),""),IF($Y38=TRUE,SoundMe(),""))</f>
        <v/>
      </c>
    </row>
    <row r="39" spans="1:26" x14ac:dyDescent="0.25">
      <c r="A39" s="14" t="str">
        <f>IF('Список дел'!$I39&lt;&gt;"",MAX($A$1:A38)+1,"")</f>
        <v/>
      </c>
      <c r="B39" s="10" t="e">
        <f t="shared" si="1"/>
        <v>#REF!</v>
      </c>
      <c r="C39" s="10" t="e">
        <f t="shared" si="2"/>
        <v>#REF!</v>
      </c>
      <c r="D39" s="10" t="e">
        <f>TRUNC('Список дел'!$B39)</f>
        <v>#REF!</v>
      </c>
      <c r="E39" s="10" t="e">
        <f>'Список дел'!$B39-'Список дел'!$D39</f>
        <v>#REF!</v>
      </c>
      <c r="F39" s="10" t="e">
        <f>'Список дел'!$E39*100</f>
        <v>#REF!</v>
      </c>
      <c r="G39" s="10" t="e">
        <f>'Список дел'!$D39&amp;"."&amp;TEXT('Список дел'!$F39,"#")</f>
        <v>#REF!</v>
      </c>
      <c r="H39" s="12" t="str">
        <f>IF(AND(Таблица24[[#This Row],[Задачи]]="",Таблица24[[#This Row],[Подзадачи]]=""),"",IF(Таблица24[[#This Row],[Задачи]]="","     "&amp;$G39&amp;" "&amp;$I39&amp;$J39,$G39&amp;" "&amp;$I39&amp;$J39))</f>
        <v/>
      </c>
      <c r="I39" s="12"/>
      <c r="J39" s="20"/>
      <c r="K39" s="20"/>
      <c r="L39" s="12"/>
      <c r="M39" s="2"/>
      <c r="N39" s="2"/>
      <c r="O39" s="2"/>
      <c r="P39" s="9"/>
      <c r="Q39" s="6"/>
      <c r="Z39" t="str">
        <f>IF(Таблица24[[#This Row],[Подзадачи]]="",IF($Y39=TRUE,SoundMe2(),""),IF($Y39=TRUE,SoundMe(),""))</f>
        <v/>
      </c>
    </row>
    <row r="40" spans="1:26" x14ac:dyDescent="0.25">
      <c r="A40" s="14" t="str">
        <f>IF('Список дел'!$I40&lt;&gt;"",MAX($A$1:A39)+1,"")</f>
        <v/>
      </c>
      <c r="B40" s="10" t="e">
        <f t="shared" si="1"/>
        <v>#REF!</v>
      </c>
      <c r="C40" s="10" t="e">
        <f t="shared" si="2"/>
        <v>#REF!</v>
      </c>
      <c r="D40" s="10" t="e">
        <f>TRUNC('Список дел'!$B40)</f>
        <v>#REF!</v>
      </c>
      <c r="E40" s="10" t="e">
        <f>'Список дел'!$B40-'Список дел'!$D40</f>
        <v>#REF!</v>
      </c>
      <c r="F40" s="10" t="e">
        <f>'Список дел'!$E40*100</f>
        <v>#REF!</v>
      </c>
      <c r="G40" s="10" t="e">
        <f>'Список дел'!$D40&amp;"."&amp;TEXT('Список дел'!$F40,"#")</f>
        <v>#REF!</v>
      </c>
      <c r="H40" s="12" t="str">
        <f>IF(AND(Таблица24[[#This Row],[Задачи]]="",Таблица24[[#This Row],[Подзадачи]]=""),"",IF(Таблица24[[#This Row],[Задачи]]="","     "&amp;$G40&amp;" "&amp;$I40&amp;$J40,$G40&amp;" "&amp;$I40&amp;$J40))</f>
        <v/>
      </c>
      <c r="I40" s="12"/>
      <c r="J40" s="20"/>
      <c r="K40" s="20"/>
      <c r="L40" s="12"/>
      <c r="M40" s="1"/>
      <c r="N40" s="1"/>
      <c r="O40" s="1"/>
      <c r="P40" s="1"/>
      <c r="Q40" s="6"/>
      <c r="Z40" t="str">
        <f>IF(Таблица24[[#This Row],[Подзадачи]]="",IF($Y40=TRUE,SoundMe2(),""),IF($Y40=TRUE,SoundMe(),""))</f>
        <v/>
      </c>
    </row>
    <row r="41" spans="1:26" x14ac:dyDescent="0.25">
      <c r="A41" s="14" t="str">
        <f>IF('Список дел'!$I41&lt;&gt;"",MAX($A$1:A40)+1,"")</f>
        <v/>
      </c>
      <c r="B41" s="10" t="e">
        <f>IF(A41&lt;&gt;"",A41,#REF!+0.01)</f>
        <v>#REF!</v>
      </c>
      <c r="C41" s="10" t="e">
        <f>IF(B41&lt;&gt;"",B41,#REF!+0.01)</f>
        <v>#REF!</v>
      </c>
      <c r="D41" s="10" t="e">
        <f>TRUNC('Список дел'!$B41)</f>
        <v>#REF!</v>
      </c>
      <c r="E41" s="10" t="e">
        <f>'Список дел'!$B41-'Список дел'!$D41</f>
        <v>#REF!</v>
      </c>
      <c r="F41" s="10" t="e">
        <f>'Список дел'!$E41*100</f>
        <v>#REF!</v>
      </c>
      <c r="G41" s="10" t="e">
        <f>'Список дел'!$D41&amp;"."&amp;TEXT('Список дел'!$F41,"#")</f>
        <v>#REF!</v>
      </c>
      <c r="H41" s="12" t="str">
        <f>IF(AND(Таблица24[[#This Row],[Задачи]]="",Таблица24[[#This Row],[Подзадачи]]=""),"",IF(Таблица24[[#This Row],[Задачи]]="","     "&amp;$G41&amp;" "&amp;$I41&amp;$J41,$G41&amp;" "&amp;$I41&amp;$J41))</f>
        <v/>
      </c>
      <c r="I41" s="20"/>
      <c r="J41" s="12"/>
      <c r="K41" s="12"/>
      <c r="L41" s="12"/>
      <c r="M41" s="2"/>
      <c r="N41" s="2"/>
      <c r="O41" s="2"/>
      <c r="P41" s="2"/>
      <c r="Q41" s="6"/>
      <c r="Z41" t="str">
        <f>IF(Таблица24[[#This Row],[Подзадачи]]="",IF($Y41=TRUE,SoundMe2(),""),IF($Y41=TRUE,SoundMe(),""))</f>
        <v/>
      </c>
    </row>
    <row r="42" spans="1:26" x14ac:dyDescent="0.25">
      <c r="A42" s="14" t="str">
        <f>IF('Список дел'!$I42&lt;&gt;"",MAX($A$1:A41)+1,"")</f>
        <v/>
      </c>
      <c r="B42" s="10" t="e">
        <f t="shared" si="1"/>
        <v>#REF!</v>
      </c>
      <c r="C42" s="10" t="e">
        <f t="shared" si="2"/>
        <v>#REF!</v>
      </c>
      <c r="D42" s="10" t="e">
        <f>TRUNC('Список дел'!$B42)</f>
        <v>#REF!</v>
      </c>
      <c r="E42" s="10" t="e">
        <f>'Список дел'!$B42-'Список дел'!$D42</f>
        <v>#REF!</v>
      </c>
      <c r="F42" s="10" t="e">
        <f>'Список дел'!$E42*100</f>
        <v>#REF!</v>
      </c>
      <c r="G42" s="10" t="e">
        <f>'Список дел'!$D42&amp;"."&amp;TEXT('Список дел'!$F42,"#")</f>
        <v>#REF!</v>
      </c>
      <c r="H42" s="12" t="str">
        <f>IF(AND(Таблица24[[#This Row],[Задачи]]="",Таблица24[[#This Row],[Подзадачи]]=""),"",IF(Таблица24[[#This Row],[Задачи]]="","     "&amp;$G42&amp;" "&amp;$I42&amp;$J42,$G42&amp;" "&amp;$I42&amp;$J42))</f>
        <v/>
      </c>
      <c r="I42" s="12"/>
      <c r="J42" s="20"/>
      <c r="K42" s="20"/>
      <c r="L42" s="12"/>
      <c r="M42" s="2"/>
      <c r="N42" s="2"/>
      <c r="O42" s="2"/>
      <c r="P42" s="2"/>
      <c r="Q42" s="6"/>
      <c r="Z42" t="str">
        <f>IF(Таблица24[[#This Row],[Подзадачи]]="",IF($Y42=TRUE,SoundMe2(),""),IF($Y42=TRUE,SoundMe(),""))</f>
        <v/>
      </c>
    </row>
    <row r="43" spans="1:26" x14ac:dyDescent="0.25">
      <c r="A43" s="14" t="str">
        <f>IF('Список дел'!$I43&lt;&gt;"",MAX($A$1:A42)+1,"")</f>
        <v/>
      </c>
      <c r="B43" s="10" t="e">
        <f t="shared" si="1"/>
        <v>#REF!</v>
      </c>
      <c r="C43" s="10" t="e">
        <f t="shared" si="2"/>
        <v>#REF!</v>
      </c>
      <c r="D43" s="10" t="e">
        <f>TRUNC('Список дел'!$B43)</f>
        <v>#REF!</v>
      </c>
      <c r="E43" s="10" t="e">
        <f>'Список дел'!$B43-'Список дел'!$D43</f>
        <v>#REF!</v>
      </c>
      <c r="F43" s="10" t="e">
        <f>'Список дел'!$E43*100</f>
        <v>#REF!</v>
      </c>
      <c r="G43" s="10" t="e">
        <f>'Список дел'!$D43&amp;"."&amp;TEXT('Список дел'!$F43,"#")</f>
        <v>#REF!</v>
      </c>
      <c r="H43" s="12" t="str">
        <f>IF(AND(Таблица24[[#This Row],[Задачи]]="",Таблица24[[#This Row],[Подзадачи]]=""),"",IF(Таблица24[[#This Row],[Задачи]]="","     "&amp;$G43&amp;" "&amp;$I43&amp;$J43,$G43&amp;" "&amp;$I43&amp;$J43))</f>
        <v/>
      </c>
      <c r="I43" s="12"/>
      <c r="J43" s="20"/>
      <c r="K43" s="20"/>
      <c r="L43" s="12"/>
      <c r="M43" s="2"/>
      <c r="N43" s="2"/>
      <c r="O43" s="2"/>
      <c r="P43" s="2"/>
      <c r="Q43" s="6"/>
      <c r="Z43" t="str">
        <f>IF(Таблица24[[#This Row],[Подзадачи]]="",IF($Y43=TRUE,SoundMe2(),""),IF($Y43=TRUE,SoundMe(),""))</f>
        <v/>
      </c>
    </row>
    <row r="44" spans="1:26" x14ac:dyDescent="0.25">
      <c r="A44" s="14" t="str">
        <f>IF('Список дел'!$I44&lt;&gt;"",MAX($A$1:A43)+1,"")</f>
        <v/>
      </c>
      <c r="B44" s="10" t="e">
        <f t="shared" si="1"/>
        <v>#REF!</v>
      </c>
      <c r="C44" s="10" t="e">
        <f t="shared" si="2"/>
        <v>#REF!</v>
      </c>
      <c r="D44" s="10" t="e">
        <f>TRUNC('Список дел'!$B44)</f>
        <v>#REF!</v>
      </c>
      <c r="E44" s="10" t="e">
        <f>'Список дел'!$B44-'Список дел'!$D44</f>
        <v>#REF!</v>
      </c>
      <c r="F44" s="10" t="e">
        <f>'Список дел'!$E44*100</f>
        <v>#REF!</v>
      </c>
      <c r="G44" s="10" t="e">
        <f>'Список дел'!$D44&amp;"."&amp;TEXT('Список дел'!$F44,"#")</f>
        <v>#REF!</v>
      </c>
      <c r="H44" s="12" t="str">
        <f>IF(AND(Таблица24[[#This Row],[Задачи]]="",Таблица24[[#This Row],[Подзадачи]]=""),"",IF(Таблица24[[#This Row],[Задачи]]="","     "&amp;$G44&amp;" "&amp;$I44&amp;$J44,$G44&amp;" "&amp;$I44&amp;$J44))</f>
        <v/>
      </c>
      <c r="I44" s="12"/>
      <c r="J44" s="20"/>
      <c r="K44" s="20"/>
      <c r="L44" s="12"/>
      <c r="M44" s="2"/>
      <c r="N44" s="2"/>
      <c r="O44" s="2"/>
      <c r="P44" s="2"/>
      <c r="Q44" s="6"/>
      <c r="Z44" t="str">
        <f>IF(Таблица24[[#This Row],[Подзадачи]]="",IF($Y44=TRUE,SoundMe2(),""),IF($Y44=TRUE,SoundMe(),""))</f>
        <v/>
      </c>
    </row>
    <row r="45" spans="1:26" x14ac:dyDescent="0.25">
      <c r="A45" s="14" t="str">
        <f>IF('Список дел'!$I45&lt;&gt;"",MAX($A$1:A44)+1,"")</f>
        <v/>
      </c>
      <c r="B45" s="10" t="e">
        <f t="shared" si="1"/>
        <v>#REF!</v>
      </c>
      <c r="C45" s="10" t="e">
        <f t="shared" si="2"/>
        <v>#REF!</v>
      </c>
      <c r="D45" s="10" t="e">
        <f>TRUNC('Список дел'!$B45)</f>
        <v>#REF!</v>
      </c>
      <c r="E45" s="10" t="e">
        <f>'Список дел'!$B45-'Список дел'!$D45</f>
        <v>#REF!</v>
      </c>
      <c r="F45" s="10" t="e">
        <f>'Список дел'!$E45*100</f>
        <v>#REF!</v>
      </c>
      <c r="G45" s="10" t="e">
        <f>'Список дел'!$D45&amp;"."&amp;TEXT('Список дел'!$F45,"#")</f>
        <v>#REF!</v>
      </c>
      <c r="H45" s="12" t="str">
        <f>IF(AND(Таблица24[[#This Row],[Задачи]]="",Таблица24[[#This Row],[Подзадачи]]=""),"",IF(Таблица24[[#This Row],[Задачи]]="","     "&amp;$G45&amp;" "&amp;$I45&amp;$J45,$G45&amp;" "&amp;$I45&amp;$J45))</f>
        <v/>
      </c>
      <c r="I45" s="12"/>
      <c r="J45" s="20"/>
      <c r="K45" s="20"/>
      <c r="L45" s="12"/>
      <c r="M45" s="2"/>
      <c r="N45" s="2"/>
      <c r="O45" s="2"/>
      <c r="P45" s="2"/>
      <c r="Q45" s="6"/>
      <c r="Z45" t="str">
        <f>IF(Таблица24[[#This Row],[Подзадачи]]="",IF($Y45=TRUE,SoundMe2(),""),IF($Y45=TRUE,SoundMe(),""))</f>
        <v/>
      </c>
    </row>
    <row r="46" spans="1:26" x14ac:dyDescent="0.25">
      <c r="A46" s="14" t="str">
        <f>IF('Список дел'!$I46&lt;&gt;"",MAX($A$1:A45)+1,"")</f>
        <v/>
      </c>
      <c r="B46" s="10" t="e">
        <f t="shared" si="1"/>
        <v>#REF!</v>
      </c>
      <c r="C46" s="10" t="e">
        <f t="shared" si="2"/>
        <v>#REF!</v>
      </c>
      <c r="D46" s="10" t="e">
        <f>TRUNC('Список дел'!$B46)</f>
        <v>#REF!</v>
      </c>
      <c r="E46" s="10" t="e">
        <f>'Список дел'!$B46-'Список дел'!$D46</f>
        <v>#REF!</v>
      </c>
      <c r="F46" s="10" t="e">
        <f>'Список дел'!$E46*100</f>
        <v>#REF!</v>
      </c>
      <c r="G46" s="10" t="e">
        <f>'Список дел'!$D46&amp;"."&amp;TEXT('Список дел'!$F46,"#")</f>
        <v>#REF!</v>
      </c>
      <c r="H46" s="12" t="str">
        <f>IF(AND(Таблица24[[#This Row],[Задачи]]="",Таблица24[[#This Row],[Подзадачи]]=""),"",IF(Таблица24[[#This Row],[Задачи]]="","     "&amp;$G46&amp;" "&amp;$I46&amp;$J46,$G46&amp;" "&amp;$I46&amp;$J46))</f>
        <v/>
      </c>
      <c r="I46" s="12"/>
      <c r="J46" s="20"/>
      <c r="K46" s="20"/>
      <c r="L46" s="12"/>
      <c r="M46" s="2"/>
      <c r="N46" s="2"/>
      <c r="O46" s="2"/>
      <c r="P46" s="2"/>
      <c r="Q46" s="6"/>
      <c r="Z46" t="str">
        <f>IF(Таблица24[[#This Row],[Подзадачи]]="",IF($Y46=TRUE,SoundMe2(),""),IF($Y46=TRUE,SoundMe(),""))</f>
        <v/>
      </c>
    </row>
    <row r="47" spans="1:26" collapsed="1" x14ac:dyDescent="0.25">
      <c r="A47" s="14" t="str">
        <f>IF('Список дел'!$I47&lt;&gt;"",MAX($A$1:A46)+1,"")</f>
        <v/>
      </c>
      <c r="B47" s="10" t="e">
        <f t="shared" si="1"/>
        <v>#REF!</v>
      </c>
      <c r="C47" s="10" t="e">
        <f t="shared" si="2"/>
        <v>#REF!</v>
      </c>
      <c r="D47" s="10" t="e">
        <f>TRUNC('Список дел'!$B47)</f>
        <v>#REF!</v>
      </c>
      <c r="E47" s="10" t="e">
        <f>'Список дел'!$B47-'Список дел'!$D47</f>
        <v>#REF!</v>
      </c>
      <c r="F47" s="10" t="e">
        <f>'Список дел'!$E47*100</f>
        <v>#REF!</v>
      </c>
      <c r="G47" s="10" t="e">
        <f>'Список дел'!$D47&amp;"."&amp;TEXT('Список дел'!$F47,"#")</f>
        <v>#REF!</v>
      </c>
      <c r="H47" s="12" t="str">
        <f>IF(AND(Таблица24[[#This Row],[Задачи]]="",Таблица24[[#This Row],[Подзадачи]]=""),"",IF(Таблица24[[#This Row],[Задачи]]="","     "&amp;$G47&amp;" "&amp;$I47&amp;$J47,$G47&amp;" "&amp;$I47&amp;$J47))</f>
        <v/>
      </c>
      <c r="I47" s="20"/>
      <c r="J47" s="12"/>
      <c r="K47" s="12"/>
      <c r="L47" s="12"/>
      <c r="M47" s="2"/>
      <c r="N47" s="2"/>
      <c r="O47" s="2"/>
      <c r="P47" s="13"/>
      <c r="Q47" s="6"/>
      <c r="Z47" t="str">
        <f>IF(Таблица24[[#This Row],[Подзадачи]]="",IF($Y47=TRUE,SoundMe2(),""),IF($Y47=TRUE,SoundMe(),""))</f>
        <v/>
      </c>
    </row>
    <row r="48" spans="1:26" x14ac:dyDescent="0.25">
      <c r="A48" s="14" t="str">
        <f>IF('Список дел'!$I48&lt;&gt;"",MAX($A$1:A47)+1,"")</f>
        <v/>
      </c>
      <c r="B48" s="10" t="e">
        <f t="shared" si="1"/>
        <v>#REF!</v>
      </c>
      <c r="C48" s="10" t="e">
        <f t="shared" si="2"/>
        <v>#REF!</v>
      </c>
      <c r="D48" s="10" t="e">
        <f>TRUNC('Список дел'!$B48)</f>
        <v>#REF!</v>
      </c>
      <c r="E48" s="10" t="e">
        <f>'Список дел'!$B48-'Список дел'!$D48</f>
        <v>#REF!</v>
      </c>
      <c r="F48" s="10" t="e">
        <f>'Список дел'!$E48*100</f>
        <v>#REF!</v>
      </c>
      <c r="G48" s="10" t="e">
        <f>'Список дел'!$D48&amp;"."&amp;TEXT('Список дел'!$F48,"#")</f>
        <v>#REF!</v>
      </c>
      <c r="H48" s="12" t="str">
        <f>IF(AND(Таблица24[[#This Row],[Задачи]]="",Таблица24[[#This Row],[Подзадачи]]=""),"",IF(Таблица24[[#This Row],[Задачи]]="","     "&amp;$G48&amp;" "&amp;$I48&amp;$J48,$G48&amp;" "&amp;$I48&amp;$J48))</f>
        <v/>
      </c>
      <c r="I48" s="12"/>
      <c r="J48" s="20"/>
      <c r="K48" s="20"/>
      <c r="L48" s="12"/>
      <c r="M48" s="2"/>
      <c r="N48" s="2"/>
      <c r="O48" s="2"/>
      <c r="P48" s="13"/>
      <c r="Q48" s="6"/>
      <c r="Z48" t="str">
        <f>IF(Таблица24[[#This Row],[Подзадачи]]="",IF($Y48=TRUE,SoundMe2(),""),IF($Y48=TRUE,SoundMe(),""))</f>
        <v/>
      </c>
    </row>
    <row r="49" spans="1:26" x14ac:dyDescent="0.25">
      <c r="A49" s="14" t="str">
        <f>IF('Список дел'!$I49&lt;&gt;"",MAX($A$1:A48)+1,"")</f>
        <v/>
      </c>
      <c r="B49" s="10" t="e">
        <f t="shared" si="1"/>
        <v>#REF!</v>
      </c>
      <c r="C49" s="10" t="e">
        <f t="shared" si="2"/>
        <v>#REF!</v>
      </c>
      <c r="D49" s="10" t="e">
        <f>TRUNC('Список дел'!$B49)</f>
        <v>#REF!</v>
      </c>
      <c r="E49" s="10" t="e">
        <f>'Список дел'!$B49-'Список дел'!$D49</f>
        <v>#REF!</v>
      </c>
      <c r="F49" s="10" t="e">
        <f>'Список дел'!$E49*100</f>
        <v>#REF!</v>
      </c>
      <c r="G49" s="10" t="e">
        <f>'Список дел'!$D49&amp;"."&amp;TEXT('Список дел'!$F49,"#")</f>
        <v>#REF!</v>
      </c>
      <c r="H49" s="12" t="str">
        <f>IF(AND(Таблица24[[#This Row],[Задачи]]="",Таблица24[[#This Row],[Подзадачи]]=""),"",IF(Таблица24[[#This Row],[Задачи]]="","     "&amp;$G49&amp;" "&amp;$I49&amp;$J49,$G49&amp;" "&amp;$I49&amp;$J49))</f>
        <v/>
      </c>
      <c r="I49" s="12"/>
      <c r="J49" s="20"/>
      <c r="K49" s="20"/>
      <c r="L49" s="12"/>
      <c r="M49" s="2"/>
      <c r="N49" s="2"/>
      <c r="O49" s="2"/>
      <c r="P49" s="13"/>
      <c r="Q49" s="6"/>
      <c r="Z49" t="str">
        <f>IF(Таблица24[[#This Row],[Подзадачи]]="",IF($Y49=TRUE,SoundMe2(),""),IF($Y49=TRUE,SoundMe(),""))</f>
        <v/>
      </c>
    </row>
    <row r="50" spans="1:26" x14ac:dyDescent="0.25">
      <c r="A50" s="14" t="str">
        <f>IF('Список дел'!$I50&lt;&gt;"",MAX($A$1:A49)+1,"")</f>
        <v/>
      </c>
      <c r="B50" s="10" t="e">
        <f t="shared" si="1"/>
        <v>#REF!</v>
      </c>
      <c r="C50" s="10" t="e">
        <f t="shared" si="2"/>
        <v>#REF!</v>
      </c>
      <c r="D50" s="10" t="e">
        <f>TRUNC('Список дел'!$B50)</f>
        <v>#REF!</v>
      </c>
      <c r="E50" s="10" t="e">
        <f>'Список дел'!$B50-'Список дел'!$D50</f>
        <v>#REF!</v>
      </c>
      <c r="F50" s="10" t="e">
        <f>'Список дел'!$E50*100</f>
        <v>#REF!</v>
      </c>
      <c r="G50" s="10" t="e">
        <f>'Список дел'!$D50&amp;"."&amp;TEXT('Список дел'!$F50,"#")</f>
        <v>#REF!</v>
      </c>
      <c r="H50" s="12" t="str">
        <f>IF(AND(Таблица24[[#This Row],[Задачи]]="",Таблица24[[#This Row],[Подзадачи]]=""),"",IF(Таблица24[[#This Row],[Задачи]]="","     "&amp;$G50&amp;" "&amp;$I50&amp;$J50,$G50&amp;" "&amp;$I50&amp;$J50))</f>
        <v/>
      </c>
      <c r="I50" s="12"/>
      <c r="J50" s="20"/>
      <c r="K50" s="20"/>
      <c r="L50" s="12"/>
      <c r="M50" s="2"/>
      <c r="N50" s="2"/>
      <c r="O50" s="2"/>
      <c r="P50" s="13"/>
      <c r="Q50" s="6"/>
      <c r="Z50" t="str">
        <f>IF(Таблица24[[#This Row],[Подзадачи]]="",IF($Y50=TRUE,SoundMe2(),""),IF($Y50=TRUE,SoundMe(),""))</f>
        <v/>
      </c>
    </row>
    <row r="51" spans="1:26" x14ac:dyDescent="0.25">
      <c r="A51" s="14" t="str">
        <f>IF('Список дел'!$I51&lt;&gt;"",MAX($A$1:A50)+1,"")</f>
        <v/>
      </c>
      <c r="B51" s="10" t="e">
        <f>IF(A51&lt;&gt;"",A51,#REF!+0.01)</f>
        <v>#REF!</v>
      </c>
      <c r="C51" s="10" t="e">
        <f>IF(B51&lt;&gt;"",B51,#REF!+0.01)</f>
        <v>#REF!</v>
      </c>
      <c r="D51" s="10" t="e">
        <f>TRUNC('Список дел'!$B51)</f>
        <v>#REF!</v>
      </c>
      <c r="E51" s="10" t="e">
        <f>'Список дел'!$B51-'Список дел'!$D51</f>
        <v>#REF!</v>
      </c>
      <c r="F51" s="10" t="e">
        <f>'Список дел'!$E51*100</f>
        <v>#REF!</v>
      </c>
      <c r="G51" s="10" t="e">
        <f>'Список дел'!$D51&amp;"."&amp;TEXT('Список дел'!$F51,"#")</f>
        <v>#REF!</v>
      </c>
      <c r="H51" s="12" t="str">
        <f>IF(AND(Таблица24[[#This Row],[Задачи]]="",Таблица24[[#This Row],[Подзадачи]]=""),"",IF(Таблица24[[#This Row],[Задачи]]="","     "&amp;$G51&amp;" "&amp;$I51&amp;$J51,$G51&amp;" "&amp;$I51&amp;$J51))</f>
        <v/>
      </c>
      <c r="I51" s="20"/>
      <c r="J51" s="12"/>
      <c r="K51" s="12"/>
      <c r="L51" s="12"/>
      <c r="M51" s="2"/>
      <c r="N51" s="2"/>
      <c r="O51" s="2"/>
      <c r="P51" s="9"/>
      <c r="Q51" s="6"/>
      <c r="Z51" t="str">
        <f>IF(Таблица24[[#This Row],[Подзадачи]]="",IF($Y51=TRUE,SoundMe2(),""),IF($Y51=TRUE,SoundMe(),""))</f>
        <v/>
      </c>
    </row>
    <row r="52" spans="1:26" x14ac:dyDescent="0.25">
      <c r="A52" s="14" t="str">
        <f>IF('Список дел'!$I52&lt;&gt;"",MAX($A$1:A51)+1,"")</f>
        <v/>
      </c>
      <c r="B52" s="10" t="e">
        <f t="shared" si="1"/>
        <v>#REF!</v>
      </c>
      <c r="C52" s="10" t="e">
        <f t="shared" si="2"/>
        <v>#REF!</v>
      </c>
      <c r="D52" s="10" t="e">
        <f>TRUNC('Список дел'!$B52)</f>
        <v>#REF!</v>
      </c>
      <c r="E52" s="10" t="e">
        <f>'Список дел'!$B52-'Список дел'!$D52</f>
        <v>#REF!</v>
      </c>
      <c r="F52" s="10" t="e">
        <f>'Список дел'!$E52*100</f>
        <v>#REF!</v>
      </c>
      <c r="G52" s="10" t="e">
        <f>'Список дел'!$D52&amp;"."&amp;TEXT('Список дел'!$F52,"#")</f>
        <v>#REF!</v>
      </c>
      <c r="H52" s="12" t="str">
        <f>IF(AND(Таблица24[[#This Row],[Задачи]]="",Таблица24[[#This Row],[Подзадачи]]=""),"",IF(Таблица24[[#This Row],[Задачи]]="","     "&amp;$G52&amp;" "&amp;$I52&amp;$J52,$G52&amp;" "&amp;$I52&amp;$J52))</f>
        <v/>
      </c>
      <c r="I52" s="12"/>
      <c r="J52" s="20"/>
      <c r="K52" s="20"/>
      <c r="L52" s="12"/>
      <c r="M52" s="1"/>
      <c r="N52" s="1"/>
      <c r="O52" s="1"/>
      <c r="P52" s="8"/>
      <c r="Q52" s="6"/>
      <c r="Z52" t="str">
        <f>IF(Таблица24[[#This Row],[Подзадачи]]="",IF($Y52=TRUE,SoundMe2(),""),IF($Y52=TRUE,SoundMe(),""))</f>
        <v/>
      </c>
    </row>
    <row r="53" spans="1:26" x14ac:dyDescent="0.25">
      <c r="A53" s="14" t="str">
        <f>IF('Список дел'!$I53&lt;&gt;"",MAX($A$1:A52)+1,"")</f>
        <v/>
      </c>
      <c r="B53" s="10" t="e">
        <f t="shared" si="1"/>
        <v>#REF!</v>
      </c>
      <c r="C53" s="10" t="e">
        <f t="shared" si="2"/>
        <v>#REF!</v>
      </c>
      <c r="D53" s="10" t="e">
        <f>TRUNC('Список дел'!$B53)</f>
        <v>#REF!</v>
      </c>
      <c r="E53" s="10" t="e">
        <f>'Список дел'!$B53-'Список дел'!$D53</f>
        <v>#REF!</v>
      </c>
      <c r="F53" s="10" t="e">
        <f>'Список дел'!$E53*100</f>
        <v>#REF!</v>
      </c>
      <c r="G53" s="10" t="e">
        <f>'Список дел'!$D53&amp;"."&amp;TEXT('Список дел'!$F53,"#")</f>
        <v>#REF!</v>
      </c>
      <c r="H53" s="12" t="str">
        <f>IF(AND(Таблица24[[#This Row],[Задачи]]="",Таблица24[[#This Row],[Подзадачи]]=""),"",IF(Таблица24[[#This Row],[Задачи]]="","     "&amp;$G53&amp;" "&amp;$I53&amp;$J53,$G53&amp;" "&amp;$I53&amp;$J53))</f>
        <v/>
      </c>
      <c r="I53" s="12"/>
      <c r="J53" s="20"/>
      <c r="K53" s="20"/>
      <c r="L53" s="12"/>
      <c r="M53" s="2"/>
      <c r="N53" s="2"/>
      <c r="O53" s="2"/>
      <c r="P53" s="2"/>
      <c r="Q53" s="6"/>
      <c r="Z53" t="str">
        <f>IF(Таблица24[[#This Row],[Подзадачи]]="",IF($Y53=TRUE,SoundMe2(),""),IF($Y53=TRUE,SoundMe(),""))</f>
        <v/>
      </c>
    </row>
    <row r="54" spans="1:26" x14ac:dyDescent="0.25">
      <c r="A54" s="14" t="str">
        <f>IF('Список дел'!$I54&lt;&gt;"",MAX($A$1:A53)+1,"")</f>
        <v/>
      </c>
      <c r="B54" s="10" t="e">
        <f t="shared" si="1"/>
        <v>#REF!</v>
      </c>
      <c r="C54" s="10" t="e">
        <f t="shared" si="2"/>
        <v>#REF!</v>
      </c>
      <c r="D54" s="10" t="e">
        <f>TRUNC('Список дел'!$B54)</f>
        <v>#REF!</v>
      </c>
      <c r="E54" s="10" t="e">
        <f>'Список дел'!$B54-'Список дел'!$D54</f>
        <v>#REF!</v>
      </c>
      <c r="F54" s="10" t="e">
        <f>'Список дел'!$E54*100</f>
        <v>#REF!</v>
      </c>
      <c r="G54" s="10" t="e">
        <f>'Список дел'!$D54&amp;"."&amp;TEXT('Список дел'!$F54,"#")</f>
        <v>#REF!</v>
      </c>
      <c r="H54" s="12" t="str">
        <f>IF(AND(Таблица24[[#This Row],[Задачи]]="",Таблица24[[#This Row],[Подзадачи]]=""),"",IF(Таблица24[[#This Row],[Задачи]]="","     "&amp;$G54&amp;" "&amp;$I54&amp;$J54,$G54&amp;" "&amp;$I54&amp;$J54))</f>
        <v/>
      </c>
      <c r="I54" s="12"/>
      <c r="J54" s="20"/>
      <c r="K54" s="20"/>
      <c r="L54" s="12"/>
      <c r="M54" s="2"/>
      <c r="N54" s="2"/>
      <c r="O54" s="2"/>
      <c r="P54" s="2"/>
      <c r="Q54" s="6"/>
      <c r="Z54" t="str">
        <f>IF(Таблица24[[#This Row],[Подзадачи]]="",IF($Y54=TRUE,SoundMe2(),""),IF($Y54=TRUE,SoundMe(),""))</f>
        <v/>
      </c>
    </row>
    <row r="55" spans="1:26" x14ac:dyDescent="0.25">
      <c r="A55" s="14" t="str">
        <f>IF('Список дел'!$I55&lt;&gt;"",MAX($A$1:A54)+1,"")</f>
        <v/>
      </c>
      <c r="B55" s="10" t="e">
        <f t="shared" si="1"/>
        <v>#REF!</v>
      </c>
      <c r="C55" s="10" t="e">
        <f t="shared" si="2"/>
        <v>#REF!</v>
      </c>
      <c r="D55" s="10" t="e">
        <f>TRUNC('Список дел'!$B55)</f>
        <v>#REF!</v>
      </c>
      <c r="E55" s="10" t="e">
        <f>'Список дел'!$B55-'Список дел'!$D55</f>
        <v>#REF!</v>
      </c>
      <c r="F55" s="10" t="e">
        <f>'Список дел'!$E55*100</f>
        <v>#REF!</v>
      </c>
      <c r="G55" s="10" t="e">
        <f>'Список дел'!$D55&amp;"."&amp;TEXT('Список дел'!$F55,"#")</f>
        <v>#REF!</v>
      </c>
      <c r="H55" s="12" t="str">
        <f>IF(AND(Таблица24[[#This Row],[Задачи]]="",Таблица24[[#This Row],[Подзадачи]]=""),"",IF(Таблица24[[#This Row],[Задачи]]="","     "&amp;$G55&amp;" "&amp;$I55&amp;$J55,$G55&amp;" "&amp;$I55&amp;$J55))</f>
        <v/>
      </c>
      <c r="I55" s="12"/>
      <c r="J55" s="20"/>
      <c r="K55" s="20"/>
      <c r="L55" s="12"/>
      <c r="M55" s="2"/>
      <c r="N55" s="2"/>
      <c r="O55" s="2"/>
      <c r="P55" s="2"/>
      <c r="Q55" s="6"/>
      <c r="Z55" t="str">
        <f>IF(Таблица24[[#This Row],[Подзадачи]]="",IF($Y55=TRUE,SoundMe2(),""),IF($Y55=TRUE,SoundMe(),""))</f>
        <v/>
      </c>
    </row>
    <row r="56" spans="1:26" x14ac:dyDescent="0.25">
      <c r="A56" s="14" t="str">
        <f>IF('Список дел'!$I56&lt;&gt;"",MAX($A$1:A55)+1,"")</f>
        <v/>
      </c>
      <c r="B56" s="10" t="e">
        <f t="shared" si="1"/>
        <v>#REF!</v>
      </c>
      <c r="C56" s="10" t="e">
        <f t="shared" si="2"/>
        <v>#REF!</v>
      </c>
      <c r="D56" s="10" t="e">
        <f>TRUNC('Список дел'!$B56)</f>
        <v>#REF!</v>
      </c>
      <c r="E56" s="10" t="e">
        <f>'Список дел'!$B56-'Список дел'!$D56</f>
        <v>#REF!</v>
      </c>
      <c r="F56" s="10" t="e">
        <f>'Список дел'!$E56*100</f>
        <v>#REF!</v>
      </c>
      <c r="G56" s="10" t="e">
        <f>'Список дел'!$D56&amp;"."&amp;TEXT('Список дел'!$F56,"#")</f>
        <v>#REF!</v>
      </c>
      <c r="H56" s="12" t="str">
        <f>IF(AND(Таблица24[[#This Row],[Задачи]]="",Таблица24[[#This Row],[Подзадачи]]=""),"",IF(Таблица24[[#This Row],[Задачи]]="","     "&amp;$G56&amp;" "&amp;$I56&amp;$J56,$G56&amp;" "&amp;$I56&amp;$J56))</f>
        <v/>
      </c>
      <c r="I56" s="12"/>
      <c r="J56" s="20"/>
      <c r="K56" s="20"/>
      <c r="L56" s="12"/>
      <c r="M56" s="2"/>
      <c r="N56" s="2"/>
      <c r="O56" s="2"/>
      <c r="P56" s="2"/>
      <c r="Q56" s="6"/>
      <c r="Z56" t="str">
        <f>IF(Таблица24[[#This Row],[Подзадачи]]="",IF($Y56=TRUE,SoundMe2(),""),IF($Y56=TRUE,SoundMe(),""))</f>
        <v/>
      </c>
    </row>
    <row r="57" spans="1:26" x14ac:dyDescent="0.25">
      <c r="A57" s="14" t="str">
        <f>IF('Список дел'!$I57&lt;&gt;"",MAX($A$1:A56)+1,"")</f>
        <v/>
      </c>
      <c r="B57" s="10" t="e">
        <f t="shared" si="1"/>
        <v>#REF!</v>
      </c>
      <c r="C57" s="10" t="e">
        <f t="shared" si="2"/>
        <v>#REF!</v>
      </c>
      <c r="D57" s="10" t="e">
        <f>TRUNC('Список дел'!$B57)</f>
        <v>#REF!</v>
      </c>
      <c r="E57" s="10" t="e">
        <f>'Список дел'!$B57-'Список дел'!$D57</f>
        <v>#REF!</v>
      </c>
      <c r="F57" s="10" t="e">
        <f>'Список дел'!$E57*100</f>
        <v>#REF!</v>
      </c>
      <c r="G57" s="10" t="e">
        <f>'Список дел'!$D57&amp;"."&amp;TEXT('Список дел'!$F57,"#")</f>
        <v>#REF!</v>
      </c>
      <c r="H57" s="12" t="str">
        <f>IF(AND(Таблица24[[#This Row],[Задачи]]="",Таблица24[[#This Row],[Подзадачи]]=""),"",IF(Таблица24[[#This Row],[Задачи]]="","     "&amp;$G57&amp;" "&amp;$I57&amp;$J57,$G57&amp;" "&amp;$I57&amp;$J57))</f>
        <v/>
      </c>
      <c r="I57" s="12"/>
      <c r="J57" s="12"/>
      <c r="K57" s="12"/>
      <c r="L57" s="12"/>
      <c r="M57" s="2"/>
      <c r="N57" s="2"/>
      <c r="O57" s="2"/>
      <c r="P57" s="2"/>
      <c r="Q57" s="6"/>
      <c r="Z57" t="str">
        <f>IF(Таблица24[[#This Row],[Подзадачи]]="",IF($Y57=TRUE,SoundMe2(),""),IF($Y57=TRUE,SoundMe(),""))</f>
        <v/>
      </c>
    </row>
    <row r="58" spans="1:26" x14ac:dyDescent="0.25">
      <c r="A58" s="14" t="str">
        <f>IF('Список дел'!$I58&lt;&gt;"",MAX($A$1:A57)+1,"")</f>
        <v/>
      </c>
      <c r="B58" s="10" t="e">
        <f t="shared" si="1"/>
        <v>#REF!</v>
      </c>
      <c r="C58" s="10" t="e">
        <f t="shared" si="2"/>
        <v>#REF!</v>
      </c>
      <c r="D58" s="10" t="e">
        <f>TRUNC('Список дел'!$B58)</f>
        <v>#REF!</v>
      </c>
      <c r="E58" s="10" t="e">
        <f>'Список дел'!$B58-'Список дел'!$D58</f>
        <v>#REF!</v>
      </c>
      <c r="F58" s="10" t="e">
        <f>'Список дел'!$E58*100</f>
        <v>#REF!</v>
      </c>
      <c r="G58" s="10" t="e">
        <f>'Список дел'!$D58&amp;"."&amp;TEXT('Список дел'!$F58,"#")</f>
        <v>#REF!</v>
      </c>
      <c r="H58" s="12" t="str">
        <f>IF(AND(Таблица24[[#This Row],[Задачи]]="",Таблица24[[#This Row],[Подзадачи]]=""),"",IF(Таблица24[[#This Row],[Задачи]]="","     "&amp;$G58&amp;" "&amp;$I58&amp;$J58,$G58&amp;" "&amp;$I58&amp;$J58))</f>
        <v/>
      </c>
      <c r="I58" s="12"/>
      <c r="J58" s="12"/>
      <c r="K58" s="12"/>
      <c r="L58" s="12"/>
      <c r="M58" s="2"/>
      <c r="N58" s="2"/>
      <c r="O58" s="2"/>
      <c r="P58" s="2"/>
      <c r="Q58" s="6"/>
      <c r="Z58" t="str">
        <f>IF(Таблица24[[#This Row],[Подзадачи]]="",IF($Y58=TRUE,SoundMe2(),""),IF($Y58=TRUE,SoundMe(),""))</f>
        <v/>
      </c>
    </row>
    <row r="59" spans="1:26" x14ac:dyDescent="0.25">
      <c r="A59" s="14" t="str">
        <f>IF('Список дел'!$I59&lt;&gt;"",MAX($A$1:A58)+1,"")</f>
        <v/>
      </c>
      <c r="B59" s="10" t="e">
        <f t="shared" si="1"/>
        <v>#REF!</v>
      </c>
      <c r="C59" s="10" t="e">
        <f t="shared" si="2"/>
        <v>#REF!</v>
      </c>
      <c r="D59" s="10" t="e">
        <f>TRUNC('Список дел'!$B59)</f>
        <v>#REF!</v>
      </c>
      <c r="E59" s="10" t="e">
        <f>'Список дел'!$B59-'Список дел'!$D59</f>
        <v>#REF!</v>
      </c>
      <c r="F59" s="10" t="e">
        <f>'Список дел'!$E59*100</f>
        <v>#REF!</v>
      </c>
      <c r="G59" s="10" t="e">
        <f>'Список дел'!$D59&amp;"."&amp;TEXT('Список дел'!$F59,"#")</f>
        <v>#REF!</v>
      </c>
      <c r="H59" s="12" t="str">
        <f>IF(AND(Таблица24[[#This Row],[Задачи]]="",Таблица24[[#This Row],[Подзадачи]]=""),"",IF(Таблица24[[#This Row],[Задачи]]="","     "&amp;$G59&amp;" "&amp;$I59&amp;$J59,$G59&amp;" "&amp;$I59&amp;$J59))</f>
        <v/>
      </c>
      <c r="I59" s="12"/>
      <c r="J59" s="12"/>
      <c r="K59" s="12"/>
      <c r="L59" s="12"/>
      <c r="M59" s="2"/>
      <c r="N59" s="2"/>
      <c r="O59" s="2"/>
      <c r="P59" s="2"/>
      <c r="Q59" s="6"/>
      <c r="Z59" t="str">
        <f>IF(Таблица24[[#This Row],[Подзадачи]]="",IF($Y59=TRUE,SoundMe2(),""),IF($Y59=TRUE,SoundMe(),""))</f>
        <v/>
      </c>
    </row>
    <row r="60" spans="1:26" x14ac:dyDescent="0.25">
      <c r="A60" s="14" t="str">
        <f>IF('Список дел'!$I60&lt;&gt;"",MAX($A$1:A59)+1,"")</f>
        <v/>
      </c>
      <c r="B60" s="10" t="e">
        <f t="shared" si="1"/>
        <v>#REF!</v>
      </c>
      <c r="C60" s="10" t="e">
        <f t="shared" si="2"/>
        <v>#REF!</v>
      </c>
      <c r="D60" s="10" t="e">
        <f>TRUNC('Список дел'!$B60)</f>
        <v>#REF!</v>
      </c>
      <c r="E60" s="10" t="e">
        <f>'Список дел'!$B60-'Список дел'!$D60</f>
        <v>#REF!</v>
      </c>
      <c r="F60" s="10" t="e">
        <f>'Список дел'!$E60*100</f>
        <v>#REF!</v>
      </c>
      <c r="G60" s="10" t="e">
        <f>'Список дел'!$D60&amp;"."&amp;TEXT('Список дел'!$F60,"#")</f>
        <v>#REF!</v>
      </c>
      <c r="H60" s="12" t="str">
        <f>IF(AND(Таблица24[[#This Row],[Задачи]]="",Таблица24[[#This Row],[Подзадачи]]=""),"",IF(Таблица24[[#This Row],[Задачи]]="","     "&amp;$G60&amp;" "&amp;$I60&amp;$J60,$G60&amp;" "&amp;$I60&amp;$J60))</f>
        <v/>
      </c>
      <c r="I60" s="12"/>
      <c r="J60" s="12"/>
      <c r="K60" s="12"/>
      <c r="L60" s="12"/>
      <c r="M60" s="2"/>
      <c r="N60" s="2"/>
      <c r="O60" s="2"/>
      <c r="P60" s="2"/>
      <c r="Q60" s="6"/>
      <c r="Z60" t="str">
        <f>IF(Таблица24[[#This Row],[Подзадачи]]="",IF($Y60=TRUE,SoundMe2(),""),IF($Y60=TRUE,SoundMe(),""))</f>
        <v/>
      </c>
    </row>
    <row r="61" spans="1:26" x14ac:dyDescent="0.25">
      <c r="A61" s="14" t="str">
        <f>IF('Список дел'!$I61&lt;&gt;"",MAX($A$1:A60)+1,"")</f>
        <v/>
      </c>
      <c r="B61" s="10" t="e">
        <f t="shared" si="1"/>
        <v>#REF!</v>
      </c>
      <c r="C61" s="10" t="e">
        <f t="shared" si="2"/>
        <v>#REF!</v>
      </c>
      <c r="D61" s="10" t="e">
        <f>TRUNC('Список дел'!$B61)</f>
        <v>#REF!</v>
      </c>
      <c r="E61" s="10" t="e">
        <f>'Список дел'!$B61-'Список дел'!$D61</f>
        <v>#REF!</v>
      </c>
      <c r="F61" s="10" t="e">
        <f>'Список дел'!$E61*100</f>
        <v>#REF!</v>
      </c>
      <c r="G61" s="10" t="e">
        <f>'Список дел'!$D61&amp;"."&amp;TEXT('Список дел'!$F61,"#")</f>
        <v>#REF!</v>
      </c>
      <c r="H61" s="12" t="str">
        <f>IF(AND(Таблица24[[#This Row],[Задачи]]="",Таблица24[[#This Row],[Подзадачи]]=""),"",IF(Таблица24[[#This Row],[Задачи]]="","     "&amp;$G61&amp;" "&amp;$I61&amp;$J61,$G61&amp;" "&amp;$I61&amp;$J61))</f>
        <v/>
      </c>
      <c r="I61" s="12"/>
      <c r="J61" s="12"/>
      <c r="K61" s="12"/>
      <c r="L61" s="12"/>
      <c r="M61" s="2"/>
      <c r="N61" s="2"/>
      <c r="O61" s="2"/>
      <c r="P61" s="2"/>
      <c r="Q61" s="6"/>
      <c r="Z61" t="str">
        <f>IF(Таблица24[[#This Row],[Подзадачи]]="",IF($Y61=TRUE,SoundMe2(),""),IF($Y61=TRUE,SoundMe(),""))</f>
        <v/>
      </c>
    </row>
    <row r="62" spans="1:26" x14ac:dyDescent="0.25">
      <c r="A62" s="14" t="str">
        <f>IF('Список дел'!$I62&lt;&gt;"",MAX($A$1:A61)+1,"")</f>
        <v/>
      </c>
      <c r="B62" s="10" t="e">
        <f t="shared" ref="B62:B125" si="3">IF(A62&lt;&gt;"",A62,$B61+0.01)</f>
        <v>#REF!</v>
      </c>
      <c r="C62" s="10" t="e">
        <f t="shared" ref="C62:C125" si="4">IF(B62&lt;&gt;"",B62,C61+0.01)</f>
        <v>#REF!</v>
      </c>
      <c r="D62" s="10" t="e">
        <f>TRUNC('Список дел'!$B62)</f>
        <v>#REF!</v>
      </c>
      <c r="E62" s="10" t="e">
        <f>'Список дел'!$B62-'Список дел'!$D62</f>
        <v>#REF!</v>
      </c>
      <c r="F62" s="10" t="e">
        <f>'Список дел'!$E62*100</f>
        <v>#REF!</v>
      </c>
      <c r="G62" s="10" t="e">
        <f>'Список дел'!$D62&amp;"."&amp;TEXT('Список дел'!$F62,"#")</f>
        <v>#REF!</v>
      </c>
      <c r="H62" s="12" t="str">
        <f>IF(AND(Таблица24[[#This Row],[Задачи]]="",Таблица24[[#This Row],[Подзадачи]]=""),"",IF(Таблица24[[#This Row],[Задачи]]="","     "&amp;$G62&amp;" "&amp;$I62&amp;$J62,$G62&amp;" "&amp;$I62&amp;$J62))</f>
        <v/>
      </c>
      <c r="I62" s="12"/>
      <c r="J62" s="12"/>
      <c r="K62" s="12"/>
      <c r="L62" s="12"/>
      <c r="M62" s="2"/>
      <c r="N62" s="2"/>
      <c r="O62" s="2"/>
      <c r="P62" s="2"/>
      <c r="Q62" s="6"/>
      <c r="Z62" t="str">
        <f>IF(Таблица24[[#This Row],[Подзадачи]]="",IF($Y62=TRUE,SoundMe2(),""),IF($Y62=TRUE,SoundMe(),""))</f>
        <v/>
      </c>
    </row>
    <row r="63" spans="1:26" x14ac:dyDescent="0.25">
      <c r="A63" s="14" t="str">
        <f>IF('Список дел'!$I63&lt;&gt;"",MAX($A$1:A62)+1,"")</f>
        <v/>
      </c>
      <c r="B63" s="10" t="e">
        <f t="shared" si="3"/>
        <v>#REF!</v>
      </c>
      <c r="C63" s="10" t="e">
        <f t="shared" si="4"/>
        <v>#REF!</v>
      </c>
      <c r="D63" s="10" t="e">
        <f>TRUNC('Список дел'!$B63)</f>
        <v>#REF!</v>
      </c>
      <c r="E63" s="10" t="e">
        <f>'Список дел'!$B63-'Список дел'!$D63</f>
        <v>#REF!</v>
      </c>
      <c r="F63" s="10" t="e">
        <f>'Список дел'!$E63*100</f>
        <v>#REF!</v>
      </c>
      <c r="G63" s="10" t="e">
        <f>'Список дел'!$D63&amp;"."&amp;TEXT('Список дел'!$F63,"#")</f>
        <v>#REF!</v>
      </c>
      <c r="H63" s="12" t="str">
        <f>IF(AND(Таблица24[[#This Row],[Задачи]]="",Таблица24[[#This Row],[Подзадачи]]=""),"",IF(Таблица24[[#This Row],[Задачи]]="","     "&amp;$G63&amp;" "&amp;$I63&amp;$J63,$G63&amp;" "&amp;$I63&amp;$J63))</f>
        <v/>
      </c>
      <c r="I63" s="12"/>
      <c r="J63" s="12"/>
      <c r="K63" s="12"/>
      <c r="L63" s="12"/>
      <c r="M63" s="2"/>
      <c r="N63" s="2"/>
      <c r="O63" s="2"/>
      <c r="P63" s="2"/>
      <c r="Q63" s="11"/>
      <c r="Z63" t="str">
        <f>IF(Таблица24[[#This Row],[Подзадачи]]="",IF($Y63=TRUE,SoundMe2(),""),IF($Y63=TRUE,SoundMe(),""))</f>
        <v/>
      </c>
    </row>
    <row r="64" spans="1:26" x14ac:dyDescent="0.25">
      <c r="A64" s="14" t="str">
        <f>IF('Список дел'!$I64&lt;&gt;"",MAX($A$1:A63)+1,"")</f>
        <v/>
      </c>
      <c r="B64" s="10" t="e">
        <f t="shared" si="3"/>
        <v>#REF!</v>
      </c>
      <c r="C64" s="10" t="e">
        <f t="shared" si="4"/>
        <v>#REF!</v>
      </c>
      <c r="D64" s="10" t="e">
        <f>TRUNC('Список дел'!$B64)</f>
        <v>#REF!</v>
      </c>
      <c r="E64" s="10" t="e">
        <f>'Список дел'!$B64-'Список дел'!$D64</f>
        <v>#REF!</v>
      </c>
      <c r="F64" s="10" t="e">
        <f>'Список дел'!$E64*100</f>
        <v>#REF!</v>
      </c>
      <c r="G64" s="10" t="e">
        <f>'Список дел'!$D64&amp;"."&amp;TEXT('Список дел'!$F64,"#")</f>
        <v>#REF!</v>
      </c>
      <c r="H64" s="12" t="str">
        <f>IF(AND(Таблица24[[#This Row],[Задачи]]="",Таблица24[[#This Row],[Подзадачи]]=""),"",IF(Таблица24[[#This Row],[Задачи]]="","     "&amp;$G64&amp;" "&amp;$I64&amp;$J64,$G64&amp;" "&amp;$I64&amp;$J64))</f>
        <v/>
      </c>
      <c r="I64" s="12"/>
      <c r="J64" s="12"/>
      <c r="K64" s="12"/>
      <c r="L64" s="12"/>
      <c r="M64" s="7"/>
      <c r="N64" s="7"/>
      <c r="O64" s="7"/>
      <c r="P64" s="7"/>
      <c r="Q64" s="11"/>
      <c r="Z64" t="str">
        <f>IF(Таблица24[[#This Row],[Подзадачи]]="",IF($Y64=TRUE,SoundMe2(),""),IF($Y64=TRUE,SoundMe(),""))</f>
        <v/>
      </c>
    </row>
    <row r="65" spans="1:26" x14ac:dyDescent="0.25">
      <c r="A65" s="14" t="str">
        <f>IF('Список дел'!$I65&lt;&gt;"",MAX($A$1:A64)+1,"")</f>
        <v/>
      </c>
      <c r="B65" s="10" t="e">
        <f t="shared" si="3"/>
        <v>#REF!</v>
      </c>
      <c r="C65" s="10" t="e">
        <f t="shared" si="4"/>
        <v>#REF!</v>
      </c>
      <c r="D65" s="10" t="e">
        <f>TRUNC('Список дел'!$B65)</f>
        <v>#REF!</v>
      </c>
      <c r="E65" s="10" t="e">
        <f>'Список дел'!$B65-'Список дел'!$D65</f>
        <v>#REF!</v>
      </c>
      <c r="F65" s="10" t="e">
        <f>'Список дел'!$E65*100</f>
        <v>#REF!</v>
      </c>
      <c r="G65" s="10" t="e">
        <f>'Список дел'!$D65&amp;"."&amp;TEXT('Список дел'!$F65,"#")</f>
        <v>#REF!</v>
      </c>
      <c r="H65" s="12" t="str">
        <f>IF(AND(Таблица24[[#This Row],[Задачи]]="",Таблица24[[#This Row],[Подзадачи]]=""),"",IF(Таблица24[[#This Row],[Задачи]]="","     "&amp;$G65&amp;" "&amp;$I65&amp;$J65,$G65&amp;" "&amp;$I65&amp;$J65))</f>
        <v/>
      </c>
      <c r="I65" s="12"/>
      <c r="J65" s="12"/>
      <c r="K65" s="12"/>
      <c r="L65" s="12"/>
      <c r="M65" s="7"/>
      <c r="N65" s="7"/>
      <c r="O65" s="7"/>
      <c r="P65" s="7"/>
      <c r="Q65" s="11"/>
      <c r="Z65" t="str">
        <f>IF(Таблица24[[#This Row],[Подзадачи]]="",IF($Y65=TRUE,SoundMe2(),""),IF($Y65=TRUE,SoundMe(),""))</f>
        <v/>
      </c>
    </row>
    <row r="66" spans="1:26" x14ac:dyDescent="0.25">
      <c r="A66" s="14" t="str">
        <f>IF('Список дел'!$I66&lt;&gt;"",MAX($A$1:A65)+1,"")</f>
        <v/>
      </c>
      <c r="B66" s="10" t="e">
        <f t="shared" si="3"/>
        <v>#REF!</v>
      </c>
      <c r="C66" s="10" t="e">
        <f t="shared" si="4"/>
        <v>#REF!</v>
      </c>
      <c r="D66" s="10" t="e">
        <f>TRUNC('Список дел'!$B66)</f>
        <v>#REF!</v>
      </c>
      <c r="E66" s="10" t="e">
        <f>'Список дел'!$B66-'Список дел'!$D66</f>
        <v>#REF!</v>
      </c>
      <c r="F66" s="10" t="e">
        <f>'Список дел'!$E66*100</f>
        <v>#REF!</v>
      </c>
      <c r="G66" s="10" t="e">
        <f>'Список дел'!$D66&amp;"."&amp;TEXT('Список дел'!$F66,"#")</f>
        <v>#REF!</v>
      </c>
      <c r="H66" s="12" t="str">
        <f>IF(AND(Таблица24[[#This Row],[Задачи]]="",Таблица24[[#This Row],[Подзадачи]]=""),"",IF(Таблица24[[#This Row],[Задачи]]="","     "&amp;$G66&amp;" "&amp;$I66&amp;$J66,$G66&amp;" "&amp;$I66&amp;$J66))</f>
        <v/>
      </c>
      <c r="I66" s="12"/>
      <c r="J66" s="12"/>
      <c r="K66" s="12"/>
      <c r="L66" s="12"/>
      <c r="M66" s="7"/>
      <c r="N66" s="7"/>
      <c r="O66" s="7"/>
      <c r="P66" s="7"/>
      <c r="Q66" s="11"/>
      <c r="Z66" t="str">
        <f>IF(Таблица24[[#This Row],[Подзадачи]]="",IF($Y66=TRUE,SoundMe2(),""),IF($Y66=TRUE,SoundMe(),""))</f>
        <v/>
      </c>
    </row>
    <row r="67" spans="1:26" x14ac:dyDescent="0.25">
      <c r="A67" s="14" t="str">
        <f>IF('Список дел'!$I67&lt;&gt;"",MAX($A$1:A66)+1,"")</f>
        <v/>
      </c>
      <c r="B67" s="10" t="e">
        <f t="shared" si="3"/>
        <v>#REF!</v>
      </c>
      <c r="C67" s="10" t="e">
        <f t="shared" si="4"/>
        <v>#REF!</v>
      </c>
      <c r="D67" s="10" t="e">
        <f>TRUNC('Список дел'!$B67)</f>
        <v>#REF!</v>
      </c>
      <c r="E67" s="10" t="e">
        <f>'Список дел'!$B67-'Список дел'!$D67</f>
        <v>#REF!</v>
      </c>
      <c r="F67" s="10" t="e">
        <f>'Список дел'!$E67*100</f>
        <v>#REF!</v>
      </c>
      <c r="G67" s="10" t="e">
        <f>'Список дел'!$D67&amp;"."&amp;TEXT('Список дел'!$F67,"#")</f>
        <v>#REF!</v>
      </c>
      <c r="H67" s="12" t="str">
        <f>IF(AND(Таблица24[[#This Row],[Задачи]]="",Таблица24[[#This Row],[Подзадачи]]=""),"",IF(Таблица24[[#This Row],[Задачи]]="","     "&amp;$G67&amp;" "&amp;$I67&amp;$J67,$G67&amp;" "&amp;$I67&amp;$J67))</f>
        <v/>
      </c>
      <c r="I67" s="12"/>
      <c r="J67" s="12"/>
      <c r="K67" s="12"/>
      <c r="L67" s="12"/>
      <c r="M67" s="7"/>
      <c r="N67" s="7"/>
      <c r="O67" s="7"/>
      <c r="P67" s="7"/>
      <c r="Q67" s="11"/>
      <c r="Z67" t="str">
        <f>IF(Таблица24[[#This Row],[Подзадачи]]="",IF($Y67=TRUE,SoundMe2(),""),IF($Y67=TRUE,SoundMe(),""))</f>
        <v/>
      </c>
    </row>
    <row r="68" spans="1:26" x14ac:dyDescent="0.25">
      <c r="A68" s="14" t="str">
        <f>IF('Список дел'!$I68&lt;&gt;"",MAX($A$1:A67)+1,"")</f>
        <v/>
      </c>
      <c r="B68" s="10" t="e">
        <f t="shared" si="3"/>
        <v>#REF!</v>
      </c>
      <c r="C68" s="10" t="e">
        <f t="shared" si="4"/>
        <v>#REF!</v>
      </c>
      <c r="D68" s="10" t="e">
        <f>TRUNC('Список дел'!$B68)</f>
        <v>#REF!</v>
      </c>
      <c r="E68" s="10" t="e">
        <f>'Список дел'!$B68-'Список дел'!$D68</f>
        <v>#REF!</v>
      </c>
      <c r="F68" s="10" t="e">
        <f>'Список дел'!$E68*100</f>
        <v>#REF!</v>
      </c>
      <c r="G68" s="10" t="e">
        <f>'Список дел'!$D68&amp;"."&amp;TEXT('Список дел'!$F68,"#")</f>
        <v>#REF!</v>
      </c>
      <c r="H68" s="12" t="str">
        <f>IF(AND(Таблица24[[#This Row],[Задачи]]="",Таблица24[[#This Row],[Подзадачи]]=""),"",IF(Таблица24[[#This Row],[Задачи]]="","     "&amp;$G68&amp;" "&amp;$I68&amp;$J68,$G68&amp;" "&amp;$I68&amp;$J68))</f>
        <v/>
      </c>
      <c r="I68" s="12"/>
      <c r="J68" s="12"/>
      <c r="K68" s="12"/>
      <c r="L68" s="12"/>
      <c r="M68" s="7"/>
      <c r="N68" s="7"/>
      <c r="O68" s="7"/>
      <c r="P68" s="7"/>
      <c r="Q68" s="11"/>
      <c r="Z68" t="str">
        <f>IF(Таблица24[[#This Row],[Подзадачи]]="",IF($Y68=TRUE,SoundMe2(),""),IF($Y68=TRUE,SoundMe(),""))</f>
        <v/>
      </c>
    </row>
    <row r="69" spans="1:26" x14ac:dyDescent="0.25">
      <c r="A69" s="14" t="str">
        <f>IF('Список дел'!$I69&lt;&gt;"",MAX($A$1:A68)+1,"")</f>
        <v/>
      </c>
      <c r="B69" s="10" t="e">
        <f t="shared" si="3"/>
        <v>#REF!</v>
      </c>
      <c r="C69" s="10" t="e">
        <f t="shared" si="4"/>
        <v>#REF!</v>
      </c>
      <c r="D69" s="10" t="e">
        <f>TRUNC('Список дел'!$B69)</f>
        <v>#REF!</v>
      </c>
      <c r="E69" s="10" t="e">
        <f>'Список дел'!$B69-'Список дел'!$D69</f>
        <v>#REF!</v>
      </c>
      <c r="F69" s="10" t="e">
        <f>'Список дел'!$E69*100</f>
        <v>#REF!</v>
      </c>
      <c r="G69" s="10" t="e">
        <f>'Список дел'!$D69&amp;"."&amp;TEXT('Список дел'!$F69,"#")</f>
        <v>#REF!</v>
      </c>
      <c r="H69" s="12" t="str">
        <f>IF(AND(Таблица24[[#This Row],[Задачи]]="",Таблица24[[#This Row],[Подзадачи]]=""),"",IF(Таблица24[[#This Row],[Задачи]]="","     "&amp;$G69&amp;" "&amp;$I69&amp;$J69,$G69&amp;" "&amp;$I69&amp;$J69))</f>
        <v/>
      </c>
      <c r="I69" s="12"/>
      <c r="J69" s="12"/>
      <c r="K69" s="12"/>
      <c r="L69" s="12"/>
      <c r="M69" s="7"/>
      <c r="N69" s="7"/>
      <c r="O69" s="7"/>
      <c r="P69" s="7"/>
      <c r="Q69" s="11"/>
      <c r="Z69" t="str">
        <f>IF(Таблица24[[#This Row],[Подзадачи]]="",IF($Y69=TRUE,SoundMe2(),""),IF($Y69=TRUE,SoundMe(),""))</f>
        <v/>
      </c>
    </row>
    <row r="70" spans="1:26" x14ac:dyDescent="0.25">
      <c r="A70" s="14" t="str">
        <f>IF('Список дел'!$I70&lt;&gt;"",MAX($A$1:A69)+1,"")</f>
        <v/>
      </c>
      <c r="B70" s="10" t="e">
        <f t="shared" si="3"/>
        <v>#REF!</v>
      </c>
      <c r="C70" s="10" t="e">
        <f t="shared" si="4"/>
        <v>#REF!</v>
      </c>
      <c r="D70" s="10" t="e">
        <f>TRUNC('Список дел'!$B70)</f>
        <v>#REF!</v>
      </c>
      <c r="E70" s="10" t="e">
        <f>'Список дел'!$B70-'Список дел'!$D70</f>
        <v>#REF!</v>
      </c>
      <c r="F70" s="10" t="e">
        <f>'Список дел'!$E70*100</f>
        <v>#REF!</v>
      </c>
      <c r="G70" s="10" t="e">
        <f>'Список дел'!$D70&amp;"."&amp;TEXT('Список дел'!$F70,"#")</f>
        <v>#REF!</v>
      </c>
      <c r="H70" s="12" t="str">
        <f>IF(AND(Таблица24[[#This Row],[Задачи]]="",Таблица24[[#This Row],[Подзадачи]]=""),"",IF(Таблица24[[#This Row],[Задачи]]="","     "&amp;$G70&amp;" "&amp;$I70&amp;$J70,$G70&amp;" "&amp;$I70&amp;$J70))</f>
        <v/>
      </c>
      <c r="I70" s="12"/>
      <c r="J70" s="12"/>
      <c r="K70" s="12"/>
      <c r="L70" s="12"/>
      <c r="M70" s="7"/>
      <c r="N70" s="7"/>
      <c r="O70" s="7"/>
      <c r="P70" s="7"/>
      <c r="Q70" s="11"/>
      <c r="Z70" t="str">
        <f>IF(Таблица24[[#This Row],[Подзадачи]]="",IF($Y70=TRUE,SoundMe2(),""),IF($Y70=TRUE,SoundMe(),""))</f>
        <v/>
      </c>
    </row>
    <row r="71" spans="1:26" x14ac:dyDescent="0.25">
      <c r="A71" s="14" t="str">
        <f>IF('Список дел'!$I71&lt;&gt;"",MAX($A$1:A70)+1,"")</f>
        <v/>
      </c>
      <c r="B71" s="10" t="e">
        <f t="shared" si="3"/>
        <v>#REF!</v>
      </c>
      <c r="C71" s="10" t="e">
        <f t="shared" si="4"/>
        <v>#REF!</v>
      </c>
      <c r="D71" s="10" t="e">
        <f>TRUNC('Список дел'!$B71)</f>
        <v>#REF!</v>
      </c>
      <c r="E71" s="10" t="e">
        <f>'Список дел'!$B71-'Список дел'!$D71</f>
        <v>#REF!</v>
      </c>
      <c r="F71" s="10" t="e">
        <f>'Список дел'!$E71*100</f>
        <v>#REF!</v>
      </c>
      <c r="G71" s="10" t="e">
        <f>'Список дел'!$D71&amp;"."&amp;TEXT('Список дел'!$F71,"#")</f>
        <v>#REF!</v>
      </c>
      <c r="H71" s="12" t="str">
        <f>IF(AND(Таблица24[[#This Row],[Задачи]]="",Таблица24[[#This Row],[Подзадачи]]=""),"",IF(Таблица24[[#This Row],[Задачи]]="","     "&amp;$G71&amp;" "&amp;$I71&amp;$J71,$G71&amp;" "&amp;$I71&amp;$J71))</f>
        <v/>
      </c>
      <c r="I71" s="12"/>
      <c r="J71" s="12"/>
      <c r="K71" s="12"/>
      <c r="L71" s="12"/>
      <c r="M71" s="7"/>
      <c r="N71" s="7"/>
      <c r="O71" s="7"/>
      <c r="P71" s="7"/>
      <c r="Q71" s="11"/>
      <c r="Z71" t="str">
        <f>IF(Таблица24[[#This Row],[Подзадачи]]="",IF($Y71=TRUE,SoundMe2(),""),IF($Y71=TRUE,SoundMe(),""))</f>
        <v/>
      </c>
    </row>
    <row r="72" spans="1:26" x14ac:dyDescent="0.25">
      <c r="A72" s="14" t="str">
        <f>IF('Список дел'!$I72&lt;&gt;"",MAX($A$1:A71)+1,"")</f>
        <v/>
      </c>
      <c r="B72" s="10" t="e">
        <f t="shared" si="3"/>
        <v>#REF!</v>
      </c>
      <c r="C72" s="10" t="e">
        <f t="shared" si="4"/>
        <v>#REF!</v>
      </c>
      <c r="D72" s="10" t="e">
        <f>TRUNC('Список дел'!$B72)</f>
        <v>#REF!</v>
      </c>
      <c r="E72" s="10" t="e">
        <f>'Список дел'!$B72-'Список дел'!$D72</f>
        <v>#REF!</v>
      </c>
      <c r="F72" s="10" t="e">
        <f>'Список дел'!$E72*100</f>
        <v>#REF!</v>
      </c>
      <c r="G72" s="10" t="e">
        <f>'Список дел'!$D72&amp;"."&amp;TEXT('Список дел'!$F72,"#")</f>
        <v>#REF!</v>
      </c>
      <c r="H72" s="12" t="str">
        <f>IF(AND(Таблица24[[#This Row],[Задачи]]="",Таблица24[[#This Row],[Подзадачи]]=""),"",IF(Таблица24[[#This Row],[Задачи]]="","     "&amp;$G72&amp;" "&amp;$I72&amp;$J72,$G72&amp;" "&amp;$I72&amp;$J72))</f>
        <v/>
      </c>
      <c r="I72" s="12"/>
      <c r="J72" s="12"/>
      <c r="K72" s="12"/>
      <c r="L72" s="12"/>
      <c r="M72" s="7"/>
      <c r="N72" s="7"/>
      <c r="O72" s="7"/>
      <c r="P72" s="7"/>
      <c r="Q72" s="11"/>
      <c r="Z72" t="str">
        <f>IF(Таблица24[[#This Row],[Подзадачи]]="",IF($Y72=TRUE,SoundMe2(),""),IF($Y72=TRUE,SoundMe(),""))</f>
        <v/>
      </c>
    </row>
    <row r="73" spans="1:26" x14ac:dyDescent="0.25">
      <c r="A73" s="14" t="str">
        <f>IF('Список дел'!$I73&lt;&gt;"",MAX($A$1:A72)+1,"")</f>
        <v/>
      </c>
      <c r="B73" s="10" t="e">
        <f t="shared" si="3"/>
        <v>#REF!</v>
      </c>
      <c r="C73" s="10" t="e">
        <f t="shared" si="4"/>
        <v>#REF!</v>
      </c>
      <c r="D73" s="10" t="e">
        <f>TRUNC('Список дел'!$B73)</f>
        <v>#REF!</v>
      </c>
      <c r="E73" s="10" t="e">
        <f>'Список дел'!$B73-'Список дел'!$D73</f>
        <v>#REF!</v>
      </c>
      <c r="F73" s="10" t="e">
        <f>'Список дел'!$E73*100</f>
        <v>#REF!</v>
      </c>
      <c r="G73" s="10" t="e">
        <f>'Список дел'!$D73&amp;"."&amp;TEXT('Список дел'!$F73,"#")</f>
        <v>#REF!</v>
      </c>
      <c r="H73" s="12" t="str">
        <f>IF(AND(Таблица24[[#This Row],[Задачи]]="",Таблица24[[#This Row],[Подзадачи]]=""),"",IF(Таблица24[[#This Row],[Задачи]]="","     "&amp;$G73&amp;" "&amp;$I73&amp;$J73,$G73&amp;" "&amp;$I73&amp;$J73))</f>
        <v/>
      </c>
      <c r="I73" s="12"/>
      <c r="J73" s="12"/>
      <c r="K73" s="12"/>
      <c r="L73" s="12"/>
      <c r="M73" s="7"/>
      <c r="N73" s="7"/>
      <c r="O73" s="7"/>
      <c r="P73" s="7"/>
      <c r="Q73" s="11"/>
      <c r="Z73" t="str">
        <f>IF(Таблица24[[#This Row],[Подзадачи]]="",IF($Y73=TRUE,SoundMe2(),""),IF($Y73=TRUE,SoundMe(),""))</f>
        <v/>
      </c>
    </row>
    <row r="74" spans="1:26" x14ac:dyDescent="0.25">
      <c r="A74" s="14" t="str">
        <f>IF('Список дел'!$I74&lt;&gt;"",MAX($A$1:A73)+1,"")</f>
        <v/>
      </c>
      <c r="B74" s="10" t="e">
        <f t="shared" si="3"/>
        <v>#REF!</v>
      </c>
      <c r="C74" s="10" t="e">
        <f t="shared" si="4"/>
        <v>#REF!</v>
      </c>
      <c r="D74" s="10" t="e">
        <f>TRUNC('Список дел'!$B74)</f>
        <v>#REF!</v>
      </c>
      <c r="E74" s="10" t="e">
        <f>'Список дел'!$B74-'Список дел'!$D74</f>
        <v>#REF!</v>
      </c>
      <c r="F74" s="10" t="e">
        <f>'Список дел'!$E74*100</f>
        <v>#REF!</v>
      </c>
      <c r="G74" s="10" t="e">
        <f>'Список дел'!$D74&amp;"."&amp;TEXT('Список дел'!$F74,"#")</f>
        <v>#REF!</v>
      </c>
      <c r="H74" s="12" t="str">
        <f>IF(AND(Таблица24[[#This Row],[Задачи]]="",Таблица24[[#This Row],[Подзадачи]]=""),"",IF(Таблица24[[#This Row],[Задачи]]="","     "&amp;$G74&amp;" "&amp;$I74&amp;$J74,$G74&amp;" "&amp;$I74&amp;$J74))</f>
        <v/>
      </c>
      <c r="I74" s="12"/>
      <c r="J74" s="12"/>
      <c r="K74" s="12"/>
      <c r="L74" s="12"/>
      <c r="M74" s="7"/>
      <c r="N74" s="7"/>
      <c r="O74" s="7"/>
      <c r="P74" s="7"/>
      <c r="Q74" s="11"/>
      <c r="Z74" t="str">
        <f>IF(Таблица24[[#This Row],[Подзадачи]]="",IF($Y74=TRUE,SoundMe2(),""),IF($Y74=TRUE,SoundMe(),""))</f>
        <v/>
      </c>
    </row>
    <row r="75" spans="1:26" x14ac:dyDescent="0.25">
      <c r="A75" s="14" t="str">
        <f>IF('Список дел'!$I75&lt;&gt;"",MAX($A$1:A74)+1,"")</f>
        <v/>
      </c>
      <c r="B75" s="10" t="e">
        <f t="shared" si="3"/>
        <v>#REF!</v>
      </c>
      <c r="C75" s="10" t="e">
        <f t="shared" si="4"/>
        <v>#REF!</v>
      </c>
      <c r="D75" s="10" t="e">
        <f>TRUNC('Список дел'!$B75)</f>
        <v>#REF!</v>
      </c>
      <c r="E75" s="10" t="e">
        <f>'Список дел'!$B75-'Список дел'!$D75</f>
        <v>#REF!</v>
      </c>
      <c r="F75" s="10" t="e">
        <f>'Список дел'!$E75*100</f>
        <v>#REF!</v>
      </c>
      <c r="G75" s="10" t="e">
        <f>'Список дел'!$D75&amp;"."&amp;TEXT('Список дел'!$F75,"#")</f>
        <v>#REF!</v>
      </c>
      <c r="H75" s="12" t="str">
        <f>IF(AND(Таблица24[[#This Row],[Задачи]]="",Таблица24[[#This Row],[Подзадачи]]=""),"",IF(Таблица24[[#This Row],[Задачи]]="","     "&amp;$G75&amp;" "&amp;$I75&amp;$J75,$G75&amp;" "&amp;$I75&amp;$J75))</f>
        <v/>
      </c>
      <c r="I75" s="12"/>
      <c r="J75" s="12"/>
      <c r="K75" s="12"/>
      <c r="L75" s="12"/>
      <c r="M75" s="2"/>
      <c r="N75" s="2"/>
      <c r="O75" s="2"/>
      <c r="P75" s="2"/>
      <c r="Q75" s="17"/>
      <c r="Z75" t="str">
        <f>IF(Таблица24[[#This Row],[Подзадачи]]="",IF($Y75=TRUE,SoundMe2(),""),IF($Y75=TRUE,SoundMe(),""))</f>
        <v/>
      </c>
    </row>
    <row r="76" spans="1:26" x14ac:dyDescent="0.25">
      <c r="A76" s="14" t="str">
        <f>IF('Список дел'!$I76&lt;&gt;"",MAX($A$1:A75)+1,"")</f>
        <v/>
      </c>
      <c r="B76" s="10" t="e">
        <f t="shared" si="3"/>
        <v>#REF!</v>
      </c>
      <c r="C76" s="10" t="e">
        <f t="shared" si="4"/>
        <v>#REF!</v>
      </c>
      <c r="D76" s="10" t="e">
        <f>TRUNC('Список дел'!$B76)</f>
        <v>#REF!</v>
      </c>
      <c r="E76" s="10" t="e">
        <f>'Список дел'!$B76-'Список дел'!$D76</f>
        <v>#REF!</v>
      </c>
      <c r="F76" s="10" t="e">
        <f>'Список дел'!$E76*100</f>
        <v>#REF!</v>
      </c>
      <c r="G76" s="10" t="e">
        <f>'Список дел'!$D76&amp;"."&amp;TEXT('Список дел'!$F76,"#")</f>
        <v>#REF!</v>
      </c>
      <c r="H76" s="12" t="str">
        <f>IF(AND(Таблица24[[#This Row],[Задачи]]="",Таблица24[[#This Row],[Подзадачи]]=""),"",IF(Таблица24[[#This Row],[Задачи]]="","     "&amp;$G76&amp;" "&amp;$I76&amp;$J76,$G76&amp;" "&amp;$I76&amp;$J76))</f>
        <v/>
      </c>
      <c r="I76" s="12"/>
      <c r="J76" s="12"/>
      <c r="K76" s="12"/>
      <c r="L76" s="12"/>
      <c r="M76" s="2"/>
      <c r="N76" s="2"/>
      <c r="O76" s="2"/>
      <c r="P76" s="2"/>
      <c r="Q76" s="17"/>
      <c r="Z76" t="str">
        <f>IF(Таблица24[[#This Row],[Подзадачи]]="",IF($Y76=TRUE,SoundMe2(),""),IF($Y76=TRUE,SoundMe(),""))</f>
        <v/>
      </c>
    </row>
    <row r="77" spans="1:26" x14ac:dyDescent="0.25">
      <c r="A77" s="14" t="str">
        <f>IF('Список дел'!$I77&lt;&gt;"",MAX($A$1:A76)+1,"")</f>
        <v/>
      </c>
      <c r="B77" s="10" t="e">
        <f t="shared" si="3"/>
        <v>#REF!</v>
      </c>
      <c r="C77" s="10" t="e">
        <f t="shared" si="4"/>
        <v>#REF!</v>
      </c>
      <c r="D77" s="10" t="e">
        <f>TRUNC('Список дел'!$B77)</f>
        <v>#REF!</v>
      </c>
      <c r="E77" s="10" t="e">
        <f>'Список дел'!$B77-'Список дел'!$D77</f>
        <v>#REF!</v>
      </c>
      <c r="F77" s="10" t="e">
        <f>'Список дел'!$E77*100</f>
        <v>#REF!</v>
      </c>
      <c r="G77" s="10" t="e">
        <f>'Список дел'!$D77&amp;"."&amp;TEXT('Список дел'!$F77,"#")</f>
        <v>#REF!</v>
      </c>
      <c r="H77" s="12" t="str">
        <f>IF(AND(Таблица24[[#This Row],[Задачи]]="",Таблица24[[#This Row],[Подзадачи]]=""),"",IF(Таблица24[[#This Row],[Задачи]]="","     "&amp;$G77&amp;" "&amp;$I77&amp;$J77,$G77&amp;" "&amp;$I77&amp;$J77))</f>
        <v/>
      </c>
      <c r="I77" s="12"/>
      <c r="J77" s="12"/>
      <c r="K77" s="12"/>
      <c r="L77" s="12"/>
      <c r="M77" s="2"/>
      <c r="N77" s="2"/>
      <c r="O77" s="2"/>
      <c r="P77" s="2"/>
      <c r="Q77" s="17"/>
      <c r="Z77" t="str">
        <f>IF(Таблица24[[#This Row],[Подзадачи]]="",IF($Y77=TRUE,SoundMe2(),""),IF($Y77=TRUE,SoundMe(),""))</f>
        <v/>
      </c>
    </row>
    <row r="78" spans="1:26" x14ac:dyDescent="0.25">
      <c r="A78" s="14" t="str">
        <f>IF('Список дел'!$I78&lt;&gt;"",MAX($A$1:A77)+1,"")</f>
        <v/>
      </c>
      <c r="B78" s="10" t="e">
        <f t="shared" si="3"/>
        <v>#REF!</v>
      </c>
      <c r="C78" s="10" t="e">
        <f t="shared" si="4"/>
        <v>#REF!</v>
      </c>
      <c r="D78" s="10" t="e">
        <f>TRUNC('Список дел'!$B78)</f>
        <v>#REF!</v>
      </c>
      <c r="E78" s="10" t="e">
        <f>'Список дел'!$B78-'Список дел'!$D78</f>
        <v>#REF!</v>
      </c>
      <c r="F78" s="10" t="e">
        <f>'Список дел'!$E78*100</f>
        <v>#REF!</v>
      </c>
      <c r="G78" s="10" t="e">
        <f>'Список дел'!$D78&amp;"."&amp;TEXT('Список дел'!$F78,"#")</f>
        <v>#REF!</v>
      </c>
      <c r="H78" s="12" t="str">
        <f>IF(AND(Таблица24[[#This Row],[Задачи]]="",Таблица24[[#This Row],[Подзадачи]]=""),"",IF(Таблица24[[#This Row],[Задачи]]="","     "&amp;$G78&amp;" "&amp;$I78&amp;$J78,$G78&amp;" "&amp;$I78&amp;$J78))</f>
        <v/>
      </c>
      <c r="I78" s="12"/>
      <c r="J78" s="12"/>
      <c r="K78" s="12"/>
      <c r="L78" s="12"/>
      <c r="M78" s="2"/>
      <c r="N78" s="2"/>
      <c r="O78" s="2"/>
      <c r="P78" s="2"/>
      <c r="Q78" s="17"/>
      <c r="Z78" t="str">
        <f>IF(Таблица24[[#This Row],[Подзадачи]]="",IF($Y78=TRUE,SoundMe2(),""),IF($Y78=TRUE,SoundMe(),""))</f>
        <v/>
      </c>
    </row>
    <row r="79" spans="1:26" x14ac:dyDescent="0.25">
      <c r="A79" s="14" t="str">
        <f>IF('Список дел'!$I79&lt;&gt;"",MAX($A$1:A78)+1,"")</f>
        <v/>
      </c>
      <c r="B79" s="10" t="e">
        <f t="shared" si="3"/>
        <v>#REF!</v>
      </c>
      <c r="C79" s="10" t="e">
        <f t="shared" si="4"/>
        <v>#REF!</v>
      </c>
      <c r="D79" s="10" t="e">
        <f>TRUNC('Список дел'!$B79)</f>
        <v>#REF!</v>
      </c>
      <c r="E79" s="10" t="e">
        <f>'Список дел'!$B79-'Список дел'!$D79</f>
        <v>#REF!</v>
      </c>
      <c r="F79" s="10" t="e">
        <f>'Список дел'!$E79*100</f>
        <v>#REF!</v>
      </c>
      <c r="G79" s="10" t="e">
        <f>'Список дел'!$D79&amp;"."&amp;TEXT('Список дел'!$F79,"#")</f>
        <v>#REF!</v>
      </c>
      <c r="H79" s="12" t="str">
        <f>IF(AND(Таблица24[[#This Row],[Задачи]]="",Таблица24[[#This Row],[Подзадачи]]=""),"",IF(Таблица24[[#This Row],[Задачи]]="","     "&amp;$G79&amp;" "&amp;$I79&amp;$J79,$G79&amp;" "&amp;$I79&amp;$J79))</f>
        <v/>
      </c>
      <c r="I79" s="12"/>
      <c r="J79" s="12"/>
      <c r="K79" s="12"/>
      <c r="L79" s="12"/>
      <c r="M79" s="2"/>
      <c r="N79" s="2"/>
      <c r="O79" s="2"/>
      <c r="P79" s="2"/>
      <c r="Q79" s="17"/>
      <c r="Z79" t="str">
        <f>IF(Таблица24[[#This Row],[Подзадачи]]="",IF($Y79=TRUE,SoundMe2(),""),IF($Y79=TRUE,SoundMe(),""))</f>
        <v/>
      </c>
    </row>
    <row r="80" spans="1:26" x14ac:dyDescent="0.25">
      <c r="A80" s="14" t="str">
        <f>IF('Список дел'!$I80&lt;&gt;"",MAX($A$1:A79)+1,"")</f>
        <v/>
      </c>
      <c r="B80" s="10" t="e">
        <f t="shared" si="3"/>
        <v>#REF!</v>
      </c>
      <c r="C80" s="10" t="e">
        <f t="shared" si="4"/>
        <v>#REF!</v>
      </c>
      <c r="D80" s="10" t="e">
        <f>TRUNC('Список дел'!$B80)</f>
        <v>#REF!</v>
      </c>
      <c r="E80" s="10" t="e">
        <f>'Список дел'!$B80-'Список дел'!$D80</f>
        <v>#REF!</v>
      </c>
      <c r="F80" s="10" t="e">
        <f>'Список дел'!$E80*100</f>
        <v>#REF!</v>
      </c>
      <c r="G80" s="10" t="e">
        <f>'Список дел'!$D80&amp;"."&amp;TEXT('Список дел'!$F80,"#")</f>
        <v>#REF!</v>
      </c>
      <c r="H80" s="12" t="str">
        <f>IF(AND(Таблица24[[#This Row],[Задачи]]="",Таблица24[[#This Row],[Подзадачи]]=""),"",IF(Таблица24[[#This Row],[Задачи]]="","     "&amp;$G80&amp;" "&amp;$I80&amp;$J80,$G80&amp;" "&amp;$I80&amp;$J80))</f>
        <v/>
      </c>
      <c r="I80" s="12"/>
      <c r="J80" s="12"/>
      <c r="K80" s="12"/>
      <c r="L80" s="12"/>
      <c r="M80" s="2"/>
      <c r="N80" s="2"/>
      <c r="O80" s="2"/>
      <c r="P80" s="2"/>
      <c r="Q80" s="17"/>
      <c r="Z80" t="str">
        <f>IF(Таблица24[[#This Row],[Подзадачи]]="",IF($Y80=TRUE,SoundMe2(),""),IF($Y80=TRUE,SoundMe(),""))</f>
        <v/>
      </c>
    </row>
    <row r="81" spans="1:26" x14ac:dyDescent="0.25">
      <c r="A81" s="14" t="str">
        <f>IF('Список дел'!$I81&lt;&gt;"",MAX($A$1:A80)+1,"")</f>
        <v/>
      </c>
      <c r="B81" s="10" t="e">
        <f t="shared" si="3"/>
        <v>#REF!</v>
      </c>
      <c r="C81" s="10" t="e">
        <f t="shared" si="4"/>
        <v>#REF!</v>
      </c>
      <c r="D81" s="10" t="e">
        <f>TRUNC('Список дел'!$B81)</f>
        <v>#REF!</v>
      </c>
      <c r="E81" s="10" t="e">
        <f>'Список дел'!$B81-'Список дел'!$D81</f>
        <v>#REF!</v>
      </c>
      <c r="F81" s="10" t="e">
        <f>'Список дел'!$E81*100</f>
        <v>#REF!</v>
      </c>
      <c r="G81" s="10" t="e">
        <f>'Список дел'!$D81&amp;"."&amp;TEXT('Список дел'!$F81,"#")</f>
        <v>#REF!</v>
      </c>
      <c r="H81" s="12" t="str">
        <f>IF(AND(Таблица24[[#This Row],[Задачи]]="",Таблица24[[#This Row],[Подзадачи]]=""),"",IF(Таблица24[[#This Row],[Задачи]]="","     "&amp;$G81&amp;" "&amp;$I81&amp;$J81,$G81&amp;" "&amp;$I81&amp;$J81))</f>
        <v/>
      </c>
      <c r="I81" s="12"/>
      <c r="J81" s="12"/>
      <c r="K81" s="12"/>
      <c r="L81" s="12"/>
      <c r="M81" s="2"/>
      <c r="N81" s="2"/>
      <c r="O81" s="2"/>
      <c r="P81" s="2"/>
      <c r="Q81" s="17"/>
      <c r="Z81" t="str">
        <f>IF(Таблица24[[#This Row],[Подзадачи]]="",IF($Y81=TRUE,SoundMe2(),""),IF($Y81=TRUE,SoundMe(),""))</f>
        <v/>
      </c>
    </row>
    <row r="82" spans="1:26" x14ac:dyDescent="0.25">
      <c r="A82" s="14" t="str">
        <f>IF('Список дел'!$I82&lt;&gt;"",MAX($A$1:A81)+1,"")</f>
        <v/>
      </c>
      <c r="B82" s="10" t="e">
        <f t="shared" si="3"/>
        <v>#REF!</v>
      </c>
      <c r="C82" s="10" t="e">
        <f t="shared" si="4"/>
        <v>#REF!</v>
      </c>
      <c r="D82" s="10" t="e">
        <f>TRUNC('Список дел'!$B82)</f>
        <v>#REF!</v>
      </c>
      <c r="E82" s="10" t="e">
        <f>'Список дел'!$B82-'Список дел'!$D82</f>
        <v>#REF!</v>
      </c>
      <c r="F82" s="10" t="e">
        <f>'Список дел'!$E82*100</f>
        <v>#REF!</v>
      </c>
      <c r="G82" s="10" t="e">
        <f>'Список дел'!$D82&amp;"."&amp;TEXT('Список дел'!$F82,"#")</f>
        <v>#REF!</v>
      </c>
      <c r="H82" s="12" t="str">
        <f>IF(AND(Таблица24[[#This Row],[Задачи]]="",Таблица24[[#This Row],[Подзадачи]]=""),"",IF(Таблица24[[#This Row],[Задачи]]="","     "&amp;$G82&amp;" "&amp;$I82&amp;$J82,$G82&amp;" "&amp;$I82&amp;$J82))</f>
        <v/>
      </c>
      <c r="I82" s="12"/>
      <c r="J82" s="12"/>
      <c r="K82" s="12"/>
      <c r="L82" s="12"/>
      <c r="M82" s="2"/>
      <c r="N82" s="2"/>
      <c r="O82" s="2"/>
      <c r="P82" s="2"/>
      <c r="Q82" s="17"/>
      <c r="Z82" t="str">
        <f>IF(Таблица24[[#This Row],[Подзадачи]]="",IF($Y82=TRUE,SoundMe2(),""),IF($Y82=TRUE,SoundMe(),""))</f>
        <v/>
      </c>
    </row>
    <row r="83" spans="1:26" x14ac:dyDescent="0.25">
      <c r="A83" s="14" t="str">
        <f>IF('Список дел'!$I83&lt;&gt;"",MAX($A$1:A82)+1,"")</f>
        <v/>
      </c>
      <c r="B83" s="10" t="e">
        <f t="shared" si="3"/>
        <v>#REF!</v>
      </c>
      <c r="C83" s="10" t="e">
        <f t="shared" si="4"/>
        <v>#REF!</v>
      </c>
      <c r="D83" s="10" t="e">
        <f>TRUNC('Список дел'!$B83)</f>
        <v>#REF!</v>
      </c>
      <c r="E83" s="10" t="e">
        <f>'Список дел'!$B83-'Список дел'!$D83</f>
        <v>#REF!</v>
      </c>
      <c r="F83" s="10" t="e">
        <f>'Список дел'!$E83*100</f>
        <v>#REF!</v>
      </c>
      <c r="G83" s="10" t="e">
        <f>'Список дел'!$D83&amp;"."&amp;TEXT('Список дел'!$F83,"#")</f>
        <v>#REF!</v>
      </c>
      <c r="H83" s="12" t="str">
        <f>IF(AND(Таблица24[[#This Row],[Задачи]]="",Таблица24[[#This Row],[Подзадачи]]=""),"",IF(Таблица24[[#This Row],[Задачи]]="","     "&amp;$G83&amp;" "&amp;$I83&amp;$J83,$G83&amp;" "&amp;$I83&amp;$J83))</f>
        <v/>
      </c>
      <c r="I83" s="12"/>
      <c r="J83" s="12"/>
      <c r="K83" s="12"/>
      <c r="L83" s="12"/>
      <c r="M83" s="2"/>
      <c r="N83" s="2"/>
      <c r="O83" s="2"/>
      <c r="P83" s="2"/>
      <c r="Q83" s="17"/>
      <c r="Z83" t="str">
        <f>IF(Таблица24[[#This Row],[Подзадачи]]="",IF($Y83=TRUE,SoundMe2(),""),IF($Y83=TRUE,SoundMe(),""))</f>
        <v/>
      </c>
    </row>
    <row r="84" spans="1:26" x14ac:dyDescent="0.25">
      <c r="A84" s="14" t="str">
        <f>IF('Список дел'!$I84&lt;&gt;"",MAX($A$1:A83)+1,"")</f>
        <v/>
      </c>
      <c r="B84" s="10" t="e">
        <f t="shared" si="3"/>
        <v>#REF!</v>
      </c>
      <c r="C84" s="10" t="e">
        <f t="shared" si="4"/>
        <v>#REF!</v>
      </c>
      <c r="D84" s="10" t="e">
        <f>TRUNC('Список дел'!$B84)</f>
        <v>#REF!</v>
      </c>
      <c r="E84" s="10" t="e">
        <f>'Список дел'!$B84-'Список дел'!$D84</f>
        <v>#REF!</v>
      </c>
      <c r="F84" s="10" t="e">
        <f>'Список дел'!$E84*100</f>
        <v>#REF!</v>
      </c>
      <c r="G84" s="10" t="e">
        <f>'Список дел'!$D84&amp;"."&amp;TEXT('Список дел'!$F84,"#")</f>
        <v>#REF!</v>
      </c>
      <c r="H84" s="12" t="str">
        <f>IF(AND(Таблица24[[#This Row],[Задачи]]="",Таблица24[[#This Row],[Подзадачи]]=""),"",IF(Таблица24[[#This Row],[Задачи]]="","     "&amp;$G84&amp;" "&amp;$I84&amp;$J84,$G84&amp;" "&amp;$I84&amp;$J84))</f>
        <v/>
      </c>
      <c r="I84" s="12"/>
      <c r="J84" s="12"/>
      <c r="K84" s="12"/>
      <c r="L84" s="12"/>
      <c r="M84" s="2"/>
      <c r="N84" s="2"/>
      <c r="O84" s="2"/>
      <c r="P84" s="2"/>
      <c r="Q84" s="17"/>
      <c r="Z84" t="str">
        <f>IF(Таблица24[[#This Row],[Подзадачи]]="",IF($Y84=TRUE,SoundMe2(),""),IF($Y84=TRUE,SoundMe(),""))</f>
        <v/>
      </c>
    </row>
    <row r="85" spans="1:26" x14ac:dyDescent="0.25">
      <c r="A85" s="14" t="str">
        <f>IF('Список дел'!$I85&lt;&gt;"",MAX($A$1:A84)+1,"")</f>
        <v/>
      </c>
      <c r="B85" s="10" t="e">
        <f t="shared" si="3"/>
        <v>#REF!</v>
      </c>
      <c r="C85" s="10" t="e">
        <f t="shared" si="4"/>
        <v>#REF!</v>
      </c>
      <c r="D85" s="10" t="e">
        <f>TRUNC('Список дел'!$B85)</f>
        <v>#REF!</v>
      </c>
      <c r="E85" s="10" t="e">
        <f>'Список дел'!$B85-'Список дел'!$D85</f>
        <v>#REF!</v>
      </c>
      <c r="F85" s="10" t="e">
        <f>'Список дел'!$E85*100</f>
        <v>#REF!</v>
      </c>
      <c r="G85" s="10" t="e">
        <f>'Список дел'!$D85&amp;"."&amp;TEXT('Список дел'!$F85,"#")</f>
        <v>#REF!</v>
      </c>
      <c r="H85" s="12" t="str">
        <f>IF(AND(Таблица24[[#This Row],[Задачи]]="",Таблица24[[#This Row],[Подзадачи]]=""),"",IF(Таблица24[[#This Row],[Задачи]]="","     "&amp;$G85&amp;" "&amp;$I85&amp;$J85,$G85&amp;" "&amp;$I85&amp;$J85))</f>
        <v/>
      </c>
      <c r="I85" s="12"/>
      <c r="J85" s="12"/>
      <c r="K85" s="12"/>
      <c r="L85" s="12"/>
      <c r="M85" s="2"/>
      <c r="N85" s="2"/>
      <c r="O85" s="2"/>
      <c r="P85" s="2"/>
      <c r="Q85" s="17"/>
      <c r="Z85" t="str">
        <f>IF(Таблица24[[#This Row],[Подзадачи]]="",IF($Y85=TRUE,SoundMe2(),""),IF($Y85=TRUE,SoundMe(),""))</f>
        <v/>
      </c>
    </row>
    <row r="86" spans="1:26" x14ac:dyDescent="0.25">
      <c r="A86" s="14" t="str">
        <f>IF('Список дел'!$I86&lt;&gt;"",MAX($A$1:A85)+1,"")</f>
        <v/>
      </c>
      <c r="B86" s="10" t="e">
        <f t="shared" si="3"/>
        <v>#REF!</v>
      </c>
      <c r="C86" s="10" t="e">
        <f t="shared" si="4"/>
        <v>#REF!</v>
      </c>
      <c r="D86" s="10" t="e">
        <f>TRUNC('Список дел'!$B86)</f>
        <v>#REF!</v>
      </c>
      <c r="E86" s="10" t="e">
        <f>'Список дел'!$B86-'Список дел'!$D86</f>
        <v>#REF!</v>
      </c>
      <c r="F86" s="10" t="e">
        <f>'Список дел'!$E86*100</f>
        <v>#REF!</v>
      </c>
      <c r="G86" s="10" t="e">
        <f>'Список дел'!$D86&amp;"."&amp;TEXT('Список дел'!$F86,"#")</f>
        <v>#REF!</v>
      </c>
      <c r="H86" s="12" t="str">
        <f>IF(AND(Таблица24[[#This Row],[Задачи]]="",Таблица24[[#This Row],[Подзадачи]]=""),"",IF(Таблица24[[#This Row],[Задачи]]="","     "&amp;$G86&amp;" "&amp;$I86&amp;$J86,$G86&amp;" "&amp;$I86&amp;$J86))</f>
        <v/>
      </c>
      <c r="I86" s="12"/>
      <c r="J86" s="12"/>
      <c r="K86" s="12"/>
      <c r="L86" s="12"/>
      <c r="M86" s="7"/>
      <c r="N86" s="7"/>
      <c r="O86" s="7"/>
      <c r="P86" s="7"/>
      <c r="Q86" s="11"/>
      <c r="Z86" t="str">
        <f>IF(Таблица24[[#This Row],[Подзадачи]]="",IF($Y86=TRUE,SoundMe2(),""),IF($Y86=TRUE,SoundMe(),""))</f>
        <v/>
      </c>
    </row>
    <row r="87" spans="1:26" x14ac:dyDescent="0.25">
      <c r="A87" s="14" t="str">
        <f>IF('Список дел'!$I87&lt;&gt;"",MAX($A$1:A86)+1,"")</f>
        <v/>
      </c>
      <c r="B87" s="10" t="e">
        <f t="shared" si="3"/>
        <v>#REF!</v>
      </c>
      <c r="C87" s="10" t="e">
        <f t="shared" si="4"/>
        <v>#REF!</v>
      </c>
      <c r="D87" s="10" t="e">
        <f>TRUNC('Список дел'!$B87)</f>
        <v>#REF!</v>
      </c>
      <c r="E87" s="10" t="e">
        <f>'Список дел'!$B87-'Список дел'!$D87</f>
        <v>#REF!</v>
      </c>
      <c r="F87" s="10" t="e">
        <f>'Список дел'!$E87*100</f>
        <v>#REF!</v>
      </c>
      <c r="G87" s="10" t="e">
        <f>'Список дел'!$D87&amp;"."&amp;TEXT('Список дел'!$F87,"#")</f>
        <v>#REF!</v>
      </c>
      <c r="H87" s="12" t="str">
        <f>IF(AND(Таблица24[[#This Row],[Задачи]]="",Таблица24[[#This Row],[Подзадачи]]=""),"",IF(Таблица24[[#This Row],[Задачи]]="","     "&amp;$G87&amp;" "&amp;$I87&amp;$J87,$G87&amp;" "&amp;$I87&amp;$J87))</f>
        <v/>
      </c>
      <c r="I87" s="12"/>
      <c r="J87" s="12"/>
      <c r="K87" s="12"/>
      <c r="L87" s="12"/>
      <c r="M87" s="2"/>
      <c r="N87" s="2"/>
      <c r="O87" s="2"/>
      <c r="P87" s="2"/>
      <c r="Q87" s="17"/>
      <c r="Z87" t="str">
        <f>IF(Таблица24[[#This Row],[Подзадачи]]="",IF($Y87=TRUE,SoundMe2(),""),IF($Y87=TRUE,SoundMe(),""))</f>
        <v/>
      </c>
    </row>
    <row r="88" spans="1:26" x14ac:dyDescent="0.25">
      <c r="A88" s="14" t="str">
        <f>IF('Список дел'!$I88&lt;&gt;"",MAX($A$1:A87)+1,"")</f>
        <v/>
      </c>
      <c r="B88" s="10" t="e">
        <f t="shared" si="3"/>
        <v>#REF!</v>
      </c>
      <c r="C88" s="10" t="e">
        <f t="shared" si="4"/>
        <v>#REF!</v>
      </c>
      <c r="D88" s="10" t="e">
        <f>TRUNC('Список дел'!$B88)</f>
        <v>#REF!</v>
      </c>
      <c r="E88" s="10" t="e">
        <f>'Список дел'!$B88-'Список дел'!$D88</f>
        <v>#REF!</v>
      </c>
      <c r="F88" s="10" t="e">
        <f>'Список дел'!$E88*100</f>
        <v>#REF!</v>
      </c>
      <c r="G88" s="10" t="e">
        <f>'Список дел'!$D88&amp;"."&amp;TEXT('Список дел'!$F88,"#")</f>
        <v>#REF!</v>
      </c>
      <c r="H88" s="12" t="str">
        <f>IF(AND(Таблица24[[#This Row],[Задачи]]="",Таблица24[[#This Row],[Подзадачи]]=""),"",IF(Таблица24[[#This Row],[Задачи]]="","     "&amp;$G88&amp;" "&amp;$I88&amp;$J88,$G88&amp;" "&amp;$I88&amp;$J88))</f>
        <v/>
      </c>
      <c r="I88" s="12"/>
      <c r="J88" s="12"/>
      <c r="K88" s="12"/>
      <c r="L88" s="12"/>
      <c r="M88" s="2"/>
      <c r="N88" s="2"/>
      <c r="O88" s="2"/>
      <c r="P88" s="2"/>
      <c r="Q88" s="17"/>
      <c r="Z88" t="str">
        <f>IF(Таблица24[[#This Row],[Подзадачи]]="",IF($Y88=TRUE,SoundMe2(),""),IF($Y88=TRUE,SoundMe(),""))</f>
        <v/>
      </c>
    </row>
    <row r="89" spans="1:26" x14ac:dyDescent="0.25">
      <c r="A89" s="14" t="str">
        <f>IF('Список дел'!$I89&lt;&gt;"",MAX($A$1:A88)+1,"")</f>
        <v/>
      </c>
      <c r="B89" s="10" t="e">
        <f t="shared" si="3"/>
        <v>#REF!</v>
      </c>
      <c r="C89" s="10" t="e">
        <f t="shared" si="4"/>
        <v>#REF!</v>
      </c>
      <c r="D89" s="10" t="e">
        <f>TRUNC('Список дел'!$B89)</f>
        <v>#REF!</v>
      </c>
      <c r="E89" s="10" t="e">
        <f>'Список дел'!$B89-'Список дел'!$D89</f>
        <v>#REF!</v>
      </c>
      <c r="F89" s="10" t="e">
        <f>'Список дел'!$E89*100</f>
        <v>#REF!</v>
      </c>
      <c r="G89" s="10" t="e">
        <f>'Список дел'!$D89&amp;"."&amp;TEXT('Список дел'!$F89,"#")</f>
        <v>#REF!</v>
      </c>
      <c r="H89" s="12" t="str">
        <f>IF(AND(Таблица24[[#This Row],[Задачи]]="",Таблица24[[#This Row],[Подзадачи]]=""),"",IF(Таблица24[[#This Row],[Задачи]]="","     "&amp;$G89&amp;" "&amp;$I89&amp;$J89,$G89&amp;" "&amp;$I89&amp;$J89))</f>
        <v/>
      </c>
      <c r="I89" s="12"/>
      <c r="J89" s="12"/>
      <c r="K89" s="12"/>
      <c r="L89" s="12"/>
      <c r="M89" s="2"/>
      <c r="N89" s="2"/>
      <c r="O89" s="2"/>
      <c r="P89" s="2"/>
      <c r="Q89" s="17"/>
      <c r="Z89" t="str">
        <f>IF(Таблица24[[#This Row],[Подзадачи]]="",IF($Y89=TRUE,SoundMe2(),""),IF($Y89=TRUE,SoundMe(),""))</f>
        <v/>
      </c>
    </row>
    <row r="90" spans="1:26" x14ac:dyDescent="0.25">
      <c r="A90" s="14" t="str">
        <f>IF('Список дел'!$I90&lt;&gt;"",MAX($A$1:A89)+1,"")</f>
        <v/>
      </c>
      <c r="B90" s="10" t="e">
        <f t="shared" si="3"/>
        <v>#REF!</v>
      </c>
      <c r="C90" s="10" t="e">
        <f t="shared" si="4"/>
        <v>#REF!</v>
      </c>
      <c r="D90" s="10" t="e">
        <f>TRUNC('Список дел'!$B90)</f>
        <v>#REF!</v>
      </c>
      <c r="E90" s="10" t="e">
        <f>'Список дел'!$B90-'Список дел'!$D90</f>
        <v>#REF!</v>
      </c>
      <c r="F90" s="10" t="e">
        <f>'Список дел'!$E90*100</f>
        <v>#REF!</v>
      </c>
      <c r="G90" s="10" t="e">
        <f>'Список дел'!$D90&amp;"."&amp;TEXT('Список дел'!$F90,"#")</f>
        <v>#REF!</v>
      </c>
      <c r="H90" s="12" t="str">
        <f>IF(AND(Таблица24[[#This Row],[Задачи]]="",Таблица24[[#This Row],[Подзадачи]]=""),"",IF(Таблица24[[#This Row],[Задачи]]="","     "&amp;$G90&amp;" "&amp;$I90&amp;$J90,$G90&amp;" "&amp;$I90&amp;$J90))</f>
        <v/>
      </c>
      <c r="I90" s="12"/>
      <c r="J90" s="12"/>
      <c r="K90" s="12"/>
      <c r="L90" s="12"/>
      <c r="M90" s="2"/>
      <c r="N90" s="2"/>
      <c r="O90" s="2"/>
      <c r="P90" s="2"/>
      <c r="Q90" s="17"/>
      <c r="Z90" t="str">
        <f>IF(Таблица24[[#This Row],[Подзадачи]]="",IF($Y90=TRUE,SoundMe2(),""),IF($Y90=TRUE,SoundMe(),""))</f>
        <v/>
      </c>
    </row>
    <row r="91" spans="1:26" ht="15.75" customHeight="1" x14ac:dyDescent="0.25">
      <c r="A91" s="14" t="str">
        <f>IF('Список дел'!$I91&lt;&gt;"",MAX($A$1:A90)+1,"")</f>
        <v/>
      </c>
      <c r="B91" s="10" t="e">
        <f t="shared" si="3"/>
        <v>#REF!</v>
      </c>
      <c r="C91" s="10" t="e">
        <f t="shared" si="4"/>
        <v>#REF!</v>
      </c>
      <c r="D91" s="10" t="e">
        <f>TRUNC('Список дел'!$B91)</f>
        <v>#REF!</v>
      </c>
      <c r="E91" s="10" t="e">
        <f>'Список дел'!$B91-'Список дел'!$D91</f>
        <v>#REF!</v>
      </c>
      <c r="F91" s="10" t="e">
        <f>'Список дел'!$E91*100</f>
        <v>#REF!</v>
      </c>
      <c r="G91" s="10" t="e">
        <f>'Список дел'!$D91&amp;"."&amp;TEXT('Список дел'!$F91,"#")</f>
        <v>#REF!</v>
      </c>
      <c r="H91" s="12" t="str">
        <f>IF(AND(Таблица24[[#This Row],[Задачи]]="",Таблица24[[#This Row],[Подзадачи]]=""),"",IF(Таблица24[[#This Row],[Задачи]]="","     "&amp;$G91&amp;" "&amp;$I91&amp;$J91,$G91&amp;" "&amp;$I91&amp;$J91))</f>
        <v/>
      </c>
      <c r="I91" s="12"/>
      <c r="J91" s="12"/>
      <c r="K91" s="12"/>
      <c r="L91" s="12"/>
      <c r="M91" s="2"/>
      <c r="N91" s="2"/>
      <c r="O91" s="2"/>
      <c r="P91" s="2"/>
      <c r="Q91" s="17"/>
      <c r="Z91" t="str">
        <f>IF(Таблица24[[#This Row],[Подзадачи]]="",IF($Y91=TRUE,SoundMe2(),""),IF($Y91=TRUE,SoundMe(),""))</f>
        <v/>
      </c>
    </row>
    <row r="92" spans="1:26" ht="15.75" customHeight="1" x14ac:dyDescent="0.25">
      <c r="A92" s="14" t="str">
        <f>IF('Список дел'!$I92&lt;&gt;"",MAX($A$1:A91)+1,"")</f>
        <v/>
      </c>
      <c r="B92" s="10" t="e">
        <f t="shared" si="3"/>
        <v>#REF!</v>
      </c>
      <c r="C92" s="10" t="e">
        <f t="shared" si="4"/>
        <v>#REF!</v>
      </c>
      <c r="D92" s="10" t="e">
        <f>TRUNC('Список дел'!$B92)</f>
        <v>#REF!</v>
      </c>
      <c r="E92" s="10" t="e">
        <f>'Список дел'!$B92-'Список дел'!$D92</f>
        <v>#REF!</v>
      </c>
      <c r="F92" s="10" t="e">
        <f>'Список дел'!$E92*100</f>
        <v>#REF!</v>
      </c>
      <c r="G92" s="10" t="e">
        <f>'Список дел'!$D92&amp;"."&amp;TEXT('Список дел'!$F92,"#")</f>
        <v>#REF!</v>
      </c>
      <c r="H92" s="12" t="str">
        <f>IF(AND(Таблица24[[#This Row],[Задачи]]="",Таблица24[[#This Row],[Подзадачи]]=""),"",IF(Таблица24[[#This Row],[Задачи]]="","     "&amp;$G92&amp;" "&amp;$I92&amp;$J92,$G92&amp;" "&amp;$I92&amp;$J92))</f>
        <v/>
      </c>
      <c r="I92" s="12"/>
      <c r="J92" s="12"/>
      <c r="K92" s="12"/>
      <c r="L92" s="12"/>
      <c r="M92" s="2"/>
      <c r="N92" s="2"/>
      <c r="O92" s="2"/>
      <c r="P92" s="2"/>
      <c r="Q92" s="17"/>
      <c r="Z92" t="str">
        <f>IF(Таблица24[[#This Row],[Подзадачи]]="",IF($Y92=TRUE,SoundMe2(),""),IF($Y92=TRUE,SoundMe(),""))</f>
        <v/>
      </c>
    </row>
    <row r="93" spans="1:26" x14ac:dyDescent="0.25">
      <c r="A93" s="14" t="str">
        <f>IF('Список дел'!$I93&lt;&gt;"",MAX($A$1:A92)+1,"")</f>
        <v/>
      </c>
      <c r="B93" s="10" t="e">
        <f t="shared" si="3"/>
        <v>#REF!</v>
      </c>
      <c r="C93" s="10" t="e">
        <f t="shared" si="4"/>
        <v>#REF!</v>
      </c>
      <c r="D93" s="10" t="e">
        <f>TRUNC('Список дел'!$B93)</f>
        <v>#REF!</v>
      </c>
      <c r="E93" s="10" t="e">
        <f>'Список дел'!$B93-'Список дел'!$D93</f>
        <v>#REF!</v>
      </c>
      <c r="F93" s="10" t="e">
        <f>'Список дел'!$E93*100</f>
        <v>#REF!</v>
      </c>
      <c r="G93" s="10" t="e">
        <f>'Список дел'!$D93&amp;"."&amp;TEXT('Список дел'!$F93,"#")</f>
        <v>#REF!</v>
      </c>
      <c r="H93" s="12" t="str">
        <f>IF(AND(Таблица24[[#This Row],[Задачи]]="",Таблица24[[#This Row],[Подзадачи]]=""),"",IF(Таблица24[[#This Row],[Задачи]]="","     "&amp;$G93&amp;" "&amp;$I93&amp;$J93,$G93&amp;" "&amp;$I93&amp;$J93))</f>
        <v/>
      </c>
      <c r="I93" s="12"/>
      <c r="J93" s="12"/>
      <c r="K93" s="12"/>
      <c r="L93" s="12"/>
      <c r="M93" s="2"/>
      <c r="N93" s="2"/>
      <c r="O93" s="2"/>
      <c r="P93" s="2"/>
      <c r="Q93" s="17"/>
      <c r="Z93" t="str">
        <f>IF(Таблица24[[#This Row],[Подзадачи]]="",IF($Y93=TRUE,SoundMe2(),""),IF($Y93=TRUE,SoundMe(),""))</f>
        <v/>
      </c>
    </row>
    <row r="94" spans="1:26" x14ac:dyDescent="0.25">
      <c r="A94" s="14" t="str">
        <f>IF('Список дел'!$I94&lt;&gt;"",MAX($A$1:A93)+1,"")</f>
        <v/>
      </c>
      <c r="B94" s="10" t="e">
        <f t="shared" si="3"/>
        <v>#REF!</v>
      </c>
      <c r="C94" s="10" t="e">
        <f t="shared" si="4"/>
        <v>#REF!</v>
      </c>
      <c r="D94" s="10" t="e">
        <f>TRUNC('Список дел'!$B94)</f>
        <v>#REF!</v>
      </c>
      <c r="E94" s="10" t="e">
        <f>'Список дел'!$B94-'Список дел'!$D94</f>
        <v>#REF!</v>
      </c>
      <c r="F94" s="10" t="e">
        <f>'Список дел'!$E94*100</f>
        <v>#REF!</v>
      </c>
      <c r="G94" s="10" t="e">
        <f>'Список дел'!$D94&amp;"."&amp;TEXT('Список дел'!$F94,"#")</f>
        <v>#REF!</v>
      </c>
      <c r="H94" s="12" t="str">
        <f>IF(AND(Таблица24[[#This Row],[Задачи]]="",Таблица24[[#This Row],[Подзадачи]]=""),"",IF(Таблица24[[#This Row],[Задачи]]="","     "&amp;$G94&amp;" "&amp;$I94&amp;$J94,$G94&amp;" "&amp;$I94&amp;$J94))</f>
        <v/>
      </c>
      <c r="I94" s="12"/>
      <c r="J94" s="12"/>
      <c r="K94" s="12"/>
      <c r="L94" s="12"/>
      <c r="M94" s="2"/>
      <c r="N94" s="2"/>
      <c r="O94" s="2"/>
      <c r="P94" s="2"/>
      <c r="Q94" s="17"/>
      <c r="Z94" t="str">
        <f>IF(Таблица24[[#This Row],[Подзадачи]]="",IF($Y94=TRUE,SoundMe2(),""),IF($Y94=TRUE,SoundMe(),""))</f>
        <v/>
      </c>
    </row>
    <row r="95" spans="1:26" x14ac:dyDescent="0.25">
      <c r="A95" s="14" t="str">
        <f>IF('Список дел'!$I95&lt;&gt;"",MAX($A$1:A94)+1,"")</f>
        <v/>
      </c>
      <c r="B95" s="10" t="e">
        <f t="shared" si="3"/>
        <v>#REF!</v>
      </c>
      <c r="C95" s="10" t="e">
        <f t="shared" si="4"/>
        <v>#REF!</v>
      </c>
      <c r="D95" s="10" t="e">
        <f>TRUNC('Список дел'!$B95)</f>
        <v>#REF!</v>
      </c>
      <c r="E95" s="10" t="e">
        <f>'Список дел'!$B95-'Список дел'!$D95</f>
        <v>#REF!</v>
      </c>
      <c r="F95" s="10" t="e">
        <f>'Список дел'!$E95*100</f>
        <v>#REF!</v>
      </c>
      <c r="G95" s="10" t="e">
        <f>'Список дел'!$D95&amp;"."&amp;TEXT('Список дел'!$F95,"#")</f>
        <v>#REF!</v>
      </c>
      <c r="H95" s="12" t="str">
        <f>IF(AND(Таблица24[[#This Row],[Задачи]]="",Таблица24[[#This Row],[Подзадачи]]=""),"",IF(Таблица24[[#This Row],[Задачи]]="","     "&amp;$G95&amp;" "&amp;$I95&amp;$J95,$G95&amp;" "&amp;$I95&amp;$J95))</f>
        <v/>
      </c>
      <c r="I95" s="12"/>
      <c r="J95" s="12"/>
      <c r="K95" s="12"/>
      <c r="L95" s="12"/>
      <c r="M95" s="2"/>
      <c r="N95" s="2"/>
      <c r="O95" s="2"/>
      <c r="P95" s="2"/>
      <c r="Q95" s="17"/>
      <c r="Z95" t="str">
        <f>IF(Таблица24[[#This Row],[Подзадачи]]="",IF($Y95=TRUE,SoundMe2(),""),IF($Y95=TRUE,SoundMe(),""))</f>
        <v/>
      </c>
    </row>
    <row r="96" spans="1:26" x14ac:dyDescent="0.25">
      <c r="A96" s="14" t="str">
        <f>IF('Список дел'!$I96&lt;&gt;"",MAX($A$1:A95)+1,"")</f>
        <v/>
      </c>
      <c r="B96" s="10" t="e">
        <f t="shared" si="3"/>
        <v>#REF!</v>
      </c>
      <c r="C96" s="10" t="e">
        <f t="shared" si="4"/>
        <v>#REF!</v>
      </c>
      <c r="D96" s="10" t="e">
        <f>TRUNC('Список дел'!$B96)</f>
        <v>#REF!</v>
      </c>
      <c r="E96" s="10" t="e">
        <f>'Список дел'!$B96-'Список дел'!$D96</f>
        <v>#REF!</v>
      </c>
      <c r="F96" s="10" t="e">
        <f>'Список дел'!$E96*100</f>
        <v>#REF!</v>
      </c>
      <c r="G96" s="10" t="e">
        <f>'Список дел'!$D96&amp;"."&amp;TEXT('Список дел'!$F96,"#")</f>
        <v>#REF!</v>
      </c>
      <c r="H96" s="12" t="str">
        <f>IF(AND(Таблица24[[#This Row],[Задачи]]="",Таблица24[[#This Row],[Подзадачи]]=""),"",IF(Таблица24[[#This Row],[Задачи]]="","     "&amp;$G96&amp;" "&amp;$I96&amp;$J96,$G96&amp;" "&amp;$I96&amp;$J96))</f>
        <v/>
      </c>
      <c r="I96" s="12"/>
      <c r="J96" s="12"/>
      <c r="K96" s="12"/>
      <c r="L96" s="12"/>
      <c r="M96" s="2"/>
      <c r="N96" s="2"/>
      <c r="O96" s="2"/>
      <c r="P96" s="2"/>
      <c r="Q96" s="17"/>
      <c r="Z96" t="str">
        <f>IF(Таблица24[[#This Row],[Подзадачи]]="",IF($Y96=TRUE,SoundMe2(),""),IF($Y96=TRUE,SoundMe(),""))</f>
        <v/>
      </c>
    </row>
    <row r="97" spans="1:26" x14ac:dyDescent="0.25">
      <c r="A97" s="14" t="str">
        <f>IF('Список дел'!$I97&lt;&gt;"",MAX($A$1:A96)+1,"")</f>
        <v/>
      </c>
      <c r="B97" s="10" t="e">
        <f t="shared" si="3"/>
        <v>#REF!</v>
      </c>
      <c r="C97" s="10" t="e">
        <f t="shared" si="4"/>
        <v>#REF!</v>
      </c>
      <c r="D97" s="10" t="e">
        <f>TRUNC('Список дел'!$B97)</f>
        <v>#REF!</v>
      </c>
      <c r="E97" s="10" t="e">
        <f>'Список дел'!$B97-'Список дел'!$D97</f>
        <v>#REF!</v>
      </c>
      <c r="F97" s="10" t="e">
        <f>'Список дел'!$E97*100</f>
        <v>#REF!</v>
      </c>
      <c r="G97" s="10" t="e">
        <f>'Список дел'!$D97&amp;"."&amp;TEXT('Список дел'!$F97,"#")</f>
        <v>#REF!</v>
      </c>
      <c r="H97" s="12" t="str">
        <f>IF(AND(Таблица24[[#This Row],[Задачи]]="",Таблица24[[#This Row],[Подзадачи]]=""),"",IF(Таблица24[[#This Row],[Задачи]]="","     "&amp;$G97&amp;" "&amp;$I97&amp;$J97,$G97&amp;" "&amp;$I97&amp;$J97))</f>
        <v/>
      </c>
      <c r="I97" s="12"/>
      <c r="J97" s="12"/>
      <c r="K97" s="12"/>
      <c r="L97" s="12"/>
      <c r="M97" s="2"/>
      <c r="N97" s="2"/>
      <c r="O97" s="2"/>
      <c r="P97" s="2"/>
      <c r="Q97" s="17"/>
      <c r="Z97" t="str">
        <f>IF(Таблица24[[#This Row],[Подзадачи]]="",IF($Y97=TRUE,SoundMe2(),""),IF($Y97=TRUE,SoundMe(),""))</f>
        <v/>
      </c>
    </row>
    <row r="98" spans="1:26" x14ac:dyDescent="0.25">
      <c r="A98" s="14" t="str">
        <f>IF('Список дел'!$I98&lt;&gt;"",MAX($A$1:A97)+1,"")</f>
        <v/>
      </c>
      <c r="B98" s="10" t="e">
        <f t="shared" si="3"/>
        <v>#REF!</v>
      </c>
      <c r="C98" s="10" t="e">
        <f t="shared" si="4"/>
        <v>#REF!</v>
      </c>
      <c r="D98" s="10" t="e">
        <f>TRUNC('Список дел'!$B98)</f>
        <v>#REF!</v>
      </c>
      <c r="E98" s="10" t="e">
        <f>'Список дел'!$B98-'Список дел'!$D98</f>
        <v>#REF!</v>
      </c>
      <c r="F98" s="10" t="e">
        <f>'Список дел'!$E98*100</f>
        <v>#REF!</v>
      </c>
      <c r="G98" s="10" t="e">
        <f>'Список дел'!$D98&amp;"."&amp;TEXT('Список дел'!$F98,"#")</f>
        <v>#REF!</v>
      </c>
      <c r="H98" s="12" t="str">
        <f>IF(AND(Таблица24[[#This Row],[Задачи]]="",Таблица24[[#This Row],[Подзадачи]]=""),"",IF(Таблица24[[#This Row],[Задачи]]="","     "&amp;$G98&amp;" "&amp;$I98&amp;$J98,$G98&amp;" "&amp;$I98&amp;$J98))</f>
        <v/>
      </c>
      <c r="I98" s="12"/>
      <c r="J98" s="12"/>
      <c r="K98" s="12"/>
      <c r="L98" s="12"/>
      <c r="M98" s="2"/>
      <c r="N98" s="2"/>
      <c r="O98" s="2"/>
      <c r="P98" s="2"/>
      <c r="Q98" s="17"/>
      <c r="Z98" t="str">
        <f>IF(Таблица24[[#This Row],[Подзадачи]]="",IF($Y98=TRUE,SoundMe2(),""),IF($Y98=TRUE,SoundMe(),""))</f>
        <v/>
      </c>
    </row>
    <row r="99" spans="1:26" x14ac:dyDescent="0.25">
      <c r="A99" s="14" t="str">
        <f>IF('Список дел'!$I99&lt;&gt;"",MAX($A$1:A98)+1,"")</f>
        <v/>
      </c>
      <c r="B99" s="10" t="e">
        <f t="shared" si="3"/>
        <v>#REF!</v>
      </c>
      <c r="C99" s="10" t="e">
        <f t="shared" si="4"/>
        <v>#REF!</v>
      </c>
      <c r="D99" s="10" t="e">
        <f>TRUNC('Список дел'!$B99)</f>
        <v>#REF!</v>
      </c>
      <c r="E99" s="10" t="e">
        <f>'Список дел'!$B99-'Список дел'!$D99</f>
        <v>#REF!</v>
      </c>
      <c r="F99" s="10" t="e">
        <f>'Список дел'!$E99*100</f>
        <v>#REF!</v>
      </c>
      <c r="G99" s="10" t="e">
        <f>'Список дел'!$D99&amp;"."&amp;TEXT('Список дел'!$F99,"#")</f>
        <v>#REF!</v>
      </c>
      <c r="H99" s="12" t="str">
        <f>IF(AND(Таблица24[[#This Row],[Задачи]]="",Таблица24[[#This Row],[Подзадачи]]=""),"",IF(Таблица24[[#This Row],[Задачи]]="","     "&amp;$G99&amp;" "&amp;$I99&amp;$J99,$G99&amp;" "&amp;$I99&amp;$J99))</f>
        <v/>
      </c>
      <c r="I99" s="12"/>
      <c r="J99" s="12"/>
      <c r="K99" s="12"/>
      <c r="L99" s="12"/>
      <c r="M99" s="2"/>
      <c r="N99" s="2"/>
      <c r="O99" s="2"/>
      <c r="P99" s="2"/>
      <c r="Q99" s="17"/>
      <c r="Z99" t="str">
        <f>IF(Таблица24[[#This Row],[Подзадачи]]="",IF($Y99=TRUE,SoundMe2(),""),IF($Y99=TRUE,SoundMe(),""))</f>
        <v/>
      </c>
    </row>
    <row r="100" spans="1:26" x14ac:dyDescent="0.25">
      <c r="A100" s="14" t="str">
        <f>IF('Список дел'!$I100&lt;&gt;"",MAX($A$1:A99)+1,"")</f>
        <v/>
      </c>
      <c r="B100" s="10" t="e">
        <f t="shared" si="3"/>
        <v>#REF!</v>
      </c>
      <c r="C100" s="10" t="e">
        <f t="shared" si="4"/>
        <v>#REF!</v>
      </c>
      <c r="D100" s="10" t="e">
        <f>TRUNC('Список дел'!$B100)</f>
        <v>#REF!</v>
      </c>
      <c r="E100" s="10" t="e">
        <f>'Список дел'!$B100-'Список дел'!$D100</f>
        <v>#REF!</v>
      </c>
      <c r="F100" s="10" t="e">
        <f>'Список дел'!$E100*100</f>
        <v>#REF!</v>
      </c>
      <c r="G100" s="10" t="e">
        <f>'Список дел'!$D100&amp;"."&amp;TEXT('Список дел'!$F100,"#")</f>
        <v>#REF!</v>
      </c>
      <c r="H100" s="12" t="str">
        <f>IF(AND(Таблица24[[#This Row],[Задачи]]="",Таблица24[[#This Row],[Подзадачи]]=""),"",IF(Таблица24[[#This Row],[Задачи]]="","     "&amp;$G100&amp;" "&amp;$I100&amp;$J100,$G100&amp;" "&amp;$I100&amp;$J100))</f>
        <v/>
      </c>
      <c r="I100" s="12"/>
      <c r="J100" s="12"/>
      <c r="K100" s="12"/>
      <c r="L100" s="12"/>
      <c r="M100" s="2"/>
      <c r="N100" s="2"/>
      <c r="O100" s="2"/>
      <c r="P100" s="2"/>
      <c r="Q100" s="17"/>
      <c r="Z100" t="str">
        <f>IF(Таблица24[[#This Row],[Подзадачи]]="",IF($Y100=TRUE,SoundMe2(),""),IF($Y100=TRUE,SoundMe(),""))</f>
        <v/>
      </c>
    </row>
    <row r="101" spans="1:26" x14ac:dyDescent="0.25">
      <c r="A101" s="14" t="str">
        <f>IF('Список дел'!$I101&lt;&gt;"",MAX($A$1:A100)+1,"")</f>
        <v/>
      </c>
      <c r="B101" s="10" t="e">
        <f t="shared" si="3"/>
        <v>#REF!</v>
      </c>
      <c r="C101" s="10" t="e">
        <f t="shared" si="4"/>
        <v>#REF!</v>
      </c>
      <c r="D101" s="10" t="e">
        <f>TRUNC('Список дел'!$B101)</f>
        <v>#REF!</v>
      </c>
      <c r="E101" s="10" t="e">
        <f>'Список дел'!$B101-'Список дел'!$D101</f>
        <v>#REF!</v>
      </c>
      <c r="F101" s="10" t="e">
        <f>'Список дел'!$E101*100</f>
        <v>#REF!</v>
      </c>
      <c r="G101" s="10" t="e">
        <f>'Список дел'!$D101&amp;"."&amp;TEXT('Список дел'!$F101,"#")</f>
        <v>#REF!</v>
      </c>
      <c r="H101" s="12" t="str">
        <f>IF(AND(Таблица24[[#This Row],[Задачи]]="",Таблица24[[#This Row],[Подзадачи]]=""),"",IF(Таблица24[[#This Row],[Задачи]]="","     "&amp;$G101&amp;" "&amp;$I101&amp;$J101,$G101&amp;" "&amp;$I101&amp;$J101))</f>
        <v/>
      </c>
      <c r="I101" s="12"/>
      <c r="J101" s="12"/>
      <c r="K101" s="12"/>
      <c r="L101" s="12"/>
      <c r="M101" s="2"/>
      <c r="N101" s="2"/>
      <c r="O101" s="2"/>
      <c r="P101" s="2"/>
      <c r="Q101" s="17"/>
      <c r="Z101" t="str">
        <f>IF(Таблица24[[#This Row],[Подзадачи]]="",IF($Y101=TRUE,SoundMe2(),""),IF($Y101=TRUE,SoundMe(),""))</f>
        <v/>
      </c>
    </row>
    <row r="102" spans="1:26" x14ac:dyDescent="0.25">
      <c r="A102" s="14" t="str">
        <f>IF('Список дел'!$I102&lt;&gt;"",MAX($A$1:A101)+1,"")</f>
        <v/>
      </c>
      <c r="B102" s="10" t="e">
        <f t="shared" si="3"/>
        <v>#REF!</v>
      </c>
      <c r="C102" s="10" t="e">
        <f t="shared" si="4"/>
        <v>#REF!</v>
      </c>
      <c r="D102" s="10" t="e">
        <f>TRUNC('Список дел'!$B102)</f>
        <v>#REF!</v>
      </c>
      <c r="E102" s="10" t="e">
        <f>'Список дел'!$B102-'Список дел'!$D102</f>
        <v>#REF!</v>
      </c>
      <c r="F102" s="10" t="e">
        <f>'Список дел'!$E102*100</f>
        <v>#REF!</v>
      </c>
      <c r="G102" s="10" t="e">
        <f>'Список дел'!$D102&amp;"."&amp;TEXT('Список дел'!$F102,"#")</f>
        <v>#REF!</v>
      </c>
      <c r="H102" s="12" t="str">
        <f>IF(AND(Таблица24[[#This Row],[Задачи]]="",Таблица24[[#This Row],[Подзадачи]]=""),"",IF(Таблица24[[#This Row],[Задачи]]="","     "&amp;$G102&amp;" "&amp;$I102&amp;$J102,$G102&amp;" "&amp;$I102&amp;$J102))</f>
        <v/>
      </c>
      <c r="I102" s="12"/>
      <c r="J102" s="12"/>
      <c r="K102" s="12"/>
      <c r="L102" s="12"/>
      <c r="M102" s="2"/>
      <c r="N102" s="2"/>
      <c r="O102" s="2"/>
      <c r="P102" s="2"/>
      <c r="Q102" s="17"/>
      <c r="Z102" t="str">
        <f>IF(Таблица24[[#This Row],[Подзадачи]]="",IF($Y102=TRUE,SoundMe2(),""),IF($Y102=TRUE,SoundMe(),""))</f>
        <v/>
      </c>
    </row>
    <row r="103" spans="1:26" x14ac:dyDescent="0.25">
      <c r="A103" s="14" t="str">
        <f>IF('Список дел'!$I103&lt;&gt;"",MAX($A$1:A102)+1,"")</f>
        <v/>
      </c>
      <c r="B103" s="10" t="e">
        <f t="shared" si="3"/>
        <v>#REF!</v>
      </c>
      <c r="C103" s="10" t="e">
        <f t="shared" si="4"/>
        <v>#REF!</v>
      </c>
      <c r="D103" s="10" t="e">
        <f>TRUNC('Список дел'!$B103)</f>
        <v>#REF!</v>
      </c>
      <c r="E103" s="10" t="e">
        <f>'Список дел'!$B103-'Список дел'!$D103</f>
        <v>#REF!</v>
      </c>
      <c r="F103" s="10" t="e">
        <f>'Список дел'!$E103*100</f>
        <v>#REF!</v>
      </c>
      <c r="G103" s="10" t="e">
        <f>'Список дел'!$D103&amp;"."&amp;TEXT('Список дел'!$F103,"#")</f>
        <v>#REF!</v>
      </c>
      <c r="H103" s="12" t="str">
        <f>IF(AND(Таблица24[[#This Row],[Задачи]]="",Таблица24[[#This Row],[Подзадачи]]=""),"",IF(Таблица24[[#This Row],[Задачи]]="","     "&amp;$G103&amp;" "&amp;$I103&amp;$J103,$G103&amp;" "&amp;$I103&amp;$J103))</f>
        <v/>
      </c>
      <c r="I103" s="12"/>
      <c r="J103" s="12"/>
      <c r="K103" s="12"/>
      <c r="L103" s="12"/>
      <c r="M103" s="2"/>
      <c r="N103" s="2"/>
      <c r="O103" s="2"/>
      <c r="P103" s="2"/>
      <c r="Q103" s="17"/>
      <c r="Z103" t="str">
        <f>IF(Таблица24[[#This Row],[Подзадачи]]="",IF($Y103=TRUE,SoundMe2(),""),IF($Y103=TRUE,SoundMe(),""))</f>
        <v/>
      </c>
    </row>
    <row r="104" spans="1:26" x14ac:dyDescent="0.25">
      <c r="A104" s="14" t="str">
        <f>IF('Список дел'!$I104&lt;&gt;"",MAX($A$1:A103)+1,"")</f>
        <v/>
      </c>
      <c r="B104" s="10" t="e">
        <f t="shared" si="3"/>
        <v>#REF!</v>
      </c>
      <c r="C104" s="10" t="e">
        <f t="shared" si="4"/>
        <v>#REF!</v>
      </c>
      <c r="D104" s="10" t="e">
        <f>TRUNC('Список дел'!$B104)</f>
        <v>#REF!</v>
      </c>
      <c r="E104" s="10" t="e">
        <f>'Список дел'!$B104-'Список дел'!$D104</f>
        <v>#REF!</v>
      </c>
      <c r="F104" s="10" t="e">
        <f>'Список дел'!$E104*100</f>
        <v>#REF!</v>
      </c>
      <c r="G104" s="10" t="e">
        <f>'Список дел'!$D104&amp;"."&amp;TEXT('Список дел'!$F104,"#")</f>
        <v>#REF!</v>
      </c>
      <c r="H104" s="12" t="str">
        <f>IF(AND(Таблица24[[#This Row],[Задачи]]="",Таблица24[[#This Row],[Подзадачи]]=""),"",IF(Таблица24[[#This Row],[Задачи]]="","     "&amp;$G104&amp;" "&amp;$I104&amp;$J104,$G104&amp;" "&amp;$I104&amp;$J104))</f>
        <v/>
      </c>
      <c r="I104" s="12"/>
      <c r="J104" s="12"/>
      <c r="K104" s="12"/>
      <c r="L104" s="12"/>
      <c r="M104" s="2"/>
      <c r="N104" s="2"/>
      <c r="O104" s="2"/>
      <c r="P104" s="2"/>
      <c r="Q104" s="17"/>
      <c r="Z104" t="str">
        <f>IF(Таблица24[[#This Row],[Подзадачи]]="",IF($Y104=TRUE,SoundMe2(),""),IF($Y104=TRUE,SoundMe(),""))</f>
        <v/>
      </c>
    </row>
    <row r="105" spans="1:26" x14ac:dyDescent="0.25">
      <c r="A105" s="14" t="str">
        <f>IF('Список дел'!$I105&lt;&gt;"",MAX($A$1:A104)+1,"")</f>
        <v/>
      </c>
      <c r="B105" s="10" t="e">
        <f t="shared" si="3"/>
        <v>#REF!</v>
      </c>
      <c r="C105" s="10" t="e">
        <f t="shared" si="4"/>
        <v>#REF!</v>
      </c>
      <c r="D105" s="10" t="e">
        <f>TRUNC('Список дел'!$B105)</f>
        <v>#REF!</v>
      </c>
      <c r="E105" s="10" t="e">
        <f>'Список дел'!$B105-'Список дел'!$D105</f>
        <v>#REF!</v>
      </c>
      <c r="F105" s="10" t="e">
        <f>'Список дел'!$E105*100</f>
        <v>#REF!</v>
      </c>
      <c r="G105" s="10" t="e">
        <f>'Список дел'!$D105&amp;"."&amp;TEXT('Список дел'!$F105,"#")</f>
        <v>#REF!</v>
      </c>
      <c r="H105" s="12" t="str">
        <f>IF(AND(Таблица24[[#This Row],[Задачи]]="",Таблица24[[#This Row],[Подзадачи]]=""),"",IF(Таблица24[[#This Row],[Задачи]]="","     "&amp;$G105&amp;" "&amp;$I105&amp;$J105,$G105&amp;" "&amp;$I105&amp;$J105))</f>
        <v/>
      </c>
      <c r="I105" s="12"/>
      <c r="J105" s="12"/>
      <c r="K105" s="12"/>
      <c r="L105" s="12"/>
      <c r="M105" s="2"/>
      <c r="N105" s="2"/>
      <c r="O105" s="2"/>
      <c r="P105" s="2"/>
      <c r="Q105" s="17"/>
      <c r="Z105" t="str">
        <f>IF(Таблица24[[#This Row],[Подзадачи]]="",IF($Y105=TRUE,SoundMe2(),""),IF($Y105=TRUE,SoundMe(),""))</f>
        <v/>
      </c>
    </row>
    <row r="106" spans="1:26" x14ac:dyDescent="0.25">
      <c r="A106" s="14" t="str">
        <f>IF('Список дел'!$I106&lt;&gt;"",MAX($A$1:A105)+1,"")</f>
        <v/>
      </c>
      <c r="B106" s="10" t="e">
        <f t="shared" si="3"/>
        <v>#REF!</v>
      </c>
      <c r="C106" s="10" t="e">
        <f t="shared" si="4"/>
        <v>#REF!</v>
      </c>
      <c r="D106" s="10" t="e">
        <f>TRUNC('Список дел'!$B106)</f>
        <v>#REF!</v>
      </c>
      <c r="E106" s="10" t="e">
        <f>'Список дел'!$B106-'Список дел'!$D106</f>
        <v>#REF!</v>
      </c>
      <c r="F106" s="10" t="e">
        <f>'Список дел'!$E106*100</f>
        <v>#REF!</v>
      </c>
      <c r="G106" s="10" t="e">
        <f>'Список дел'!$D106&amp;"."&amp;TEXT('Список дел'!$F106,"#")</f>
        <v>#REF!</v>
      </c>
      <c r="H106" s="12" t="str">
        <f>IF(AND(Таблица24[[#This Row],[Задачи]]="",Таблица24[[#This Row],[Подзадачи]]=""),"",IF(Таблица24[[#This Row],[Задачи]]="","     "&amp;$G106&amp;" "&amp;$I106&amp;$J106,$G106&amp;" "&amp;$I106&amp;$J106))</f>
        <v/>
      </c>
      <c r="I106" s="12"/>
      <c r="J106" s="12"/>
      <c r="K106" s="12"/>
      <c r="L106" s="12"/>
      <c r="M106" s="2"/>
      <c r="N106" s="2"/>
      <c r="O106" s="2"/>
      <c r="P106" s="2"/>
      <c r="Q106" s="17"/>
      <c r="Z106" t="str">
        <f>IF(Таблица24[[#This Row],[Подзадачи]]="",IF($Y106=TRUE,SoundMe2(),""),IF($Y106=TRUE,SoundMe(),""))</f>
        <v/>
      </c>
    </row>
    <row r="107" spans="1:26" x14ac:dyDescent="0.25">
      <c r="A107" s="14" t="str">
        <f>IF('Список дел'!$I107&lt;&gt;"",MAX($A$1:A106)+1,"")</f>
        <v/>
      </c>
      <c r="B107" s="10" t="e">
        <f t="shared" si="3"/>
        <v>#REF!</v>
      </c>
      <c r="C107" s="10" t="e">
        <f t="shared" si="4"/>
        <v>#REF!</v>
      </c>
      <c r="D107" s="10" t="e">
        <f>TRUNC('Список дел'!$B107)</f>
        <v>#REF!</v>
      </c>
      <c r="E107" s="10" t="e">
        <f>'Список дел'!$B107-'Список дел'!$D107</f>
        <v>#REF!</v>
      </c>
      <c r="F107" s="10" t="e">
        <f>'Список дел'!$E107*100</f>
        <v>#REF!</v>
      </c>
      <c r="G107" s="10" t="e">
        <f>'Список дел'!$D107&amp;"."&amp;TEXT('Список дел'!$F107,"#")</f>
        <v>#REF!</v>
      </c>
      <c r="H107" s="12" t="str">
        <f>IF(AND(Таблица24[[#This Row],[Задачи]]="",Таблица24[[#This Row],[Подзадачи]]=""),"",IF(Таблица24[[#This Row],[Задачи]]="","     "&amp;$G107&amp;" "&amp;$I107&amp;$J107,$G107&amp;" "&amp;$I107&amp;$J107))</f>
        <v/>
      </c>
      <c r="I107" s="12"/>
      <c r="J107" s="12"/>
      <c r="K107" s="12"/>
      <c r="L107" s="12"/>
      <c r="M107" s="2"/>
      <c r="N107" s="2"/>
      <c r="O107" s="2"/>
      <c r="P107" s="2"/>
      <c r="Q107" s="17"/>
      <c r="Z107" t="str">
        <f>IF(Таблица24[[#This Row],[Подзадачи]]="",IF($Y107=TRUE,SoundMe2(),""),IF($Y107=TRUE,SoundMe(),""))</f>
        <v/>
      </c>
    </row>
    <row r="108" spans="1:26" x14ac:dyDescent="0.25">
      <c r="A108" s="14" t="str">
        <f>IF('Список дел'!$I108&lt;&gt;"",MAX($A$1:A107)+1,"")</f>
        <v/>
      </c>
      <c r="B108" s="10" t="e">
        <f t="shared" si="3"/>
        <v>#REF!</v>
      </c>
      <c r="C108" s="10" t="e">
        <f t="shared" si="4"/>
        <v>#REF!</v>
      </c>
      <c r="D108" s="10" t="e">
        <f>TRUNC('Список дел'!$B108)</f>
        <v>#REF!</v>
      </c>
      <c r="E108" s="10" t="e">
        <f>'Список дел'!$B108-'Список дел'!$D108</f>
        <v>#REF!</v>
      </c>
      <c r="F108" s="10" t="e">
        <f>'Список дел'!$E108*100</f>
        <v>#REF!</v>
      </c>
      <c r="G108" s="10" t="e">
        <f>'Список дел'!$D108&amp;"."&amp;TEXT('Список дел'!$F108,"#")</f>
        <v>#REF!</v>
      </c>
      <c r="H108" s="12" t="str">
        <f>IF(AND(Таблица24[[#This Row],[Задачи]]="",Таблица24[[#This Row],[Подзадачи]]=""),"",IF(Таблица24[[#This Row],[Задачи]]="","     "&amp;$G108&amp;" "&amp;$I108&amp;$J108,$G108&amp;" "&amp;$I108&amp;$J108))</f>
        <v/>
      </c>
      <c r="I108" s="12"/>
      <c r="J108" s="12"/>
      <c r="K108" s="12"/>
      <c r="L108" s="12"/>
      <c r="M108" s="2"/>
      <c r="N108" s="2"/>
      <c r="O108" s="2"/>
      <c r="P108" s="2"/>
      <c r="Q108" s="17"/>
      <c r="Z108" t="str">
        <f>IF(Таблица24[[#This Row],[Подзадачи]]="",IF($Y108=TRUE,SoundMe2(),""),IF($Y108=TRUE,SoundMe(),""))</f>
        <v/>
      </c>
    </row>
    <row r="109" spans="1:26" x14ac:dyDescent="0.25">
      <c r="A109" s="14" t="str">
        <f>IF('Список дел'!$I109&lt;&gt;"",MAX($A$1:A108)+1,"")</f>
        <v/>
      </c>
      <c r="B109" s="10" t="e">
        <f t="shared" si="3"/>
        <v>#REF!</v>
      </c>
      <c r="C109" s="10" t="e">
        <f t="shared" si="4"/>
        <v>#REF!</v>
      </c>
      <c r="D109" s="10" t="e">
        <f>TRUNC('Список дел'!$B109)</f>
        <v>#REF!</v>
      </c>
      <c r="E109" s="10" t="e">
        <f>'Список дел'!$B109-'Список дел'!$D109</f>
        <v>#REF!</v>
      </c>
      <c r="F109" s="10" t="e">
        <f>'Список дел'!$E109*100</f>
        <v>#REF!</v>
      </c>
      <c r="G109" s="10" t="e">
        <f>'Список дел'!$D109&amp;"."&amp;TEXT('Список дел'!$F109,"#")</f>
        <v>#REF!</v>
      </c>
      <c r="H109" s="12" t="str">
        <f>IF(AND(Таблица24[[#This Row],[Задачи]]="",Таблица24[[#This Row],[Подзадачи]]=""),"",IF(Таблица24[[#This Row],[Задачи]]="","     "&amp;$G109&amp;" "&amp;$I109&amp;$J109,$G109&amp;" "&amp;$I109&amp;$J109))</f>
        <v/>
      </c>
      <c r="I109" s="12"/>
      <c r="J109" s="12"/>
      <c r="K109" s="12"/>
      <c r="L109" s="12"/>
      <c r="M109" s="2"/>
      <c r="N109" s="2"/>
      <c r="O109" s="2"/>
      <c r="P109" s="2"/>
      <c r="Q109" s="17"/>
      <c r="Z109" t="str">
        <f>IF(Таблица24[[#This Row],[Подзадачи]]="",IF($Y109=TRUE,SoundMe2(),""),IF($Y109=TRUE,SoundMe(),""))</f>
        <v/>
      </c>
    </row>
    <row r="110" spans="1:26" x14ac:dyDescent="0.25">
      <c r="A110" s="14" t="str">
        <f>IF('Список дел'!$I110&lt;&gt;"",MAX($A$1:A109)+1,"")</f>
        <v/>
      </c>
      <c r="B110" s="10" t="e">
        <f t="shared" si="3"/>
        <v>#REF!</v>
      </c>
      <c r="C110" s="10" t="e">
        <f t="shared" si="4"/>
        <v>#REF!</v>
      </c>
      <c r="D110" s="10" t="e">
        <f>TRUNC('Список дел'!$B110)</f>
        <v>#REF!</v>
      </c>
      <c r="E110" s="10" t="e">
        <f>'Список дел'!$B110-'Список дел'!$D110</f>
        <v>#REF!</v>
      </c>
      <c r="F110" s="10" t="e">
        <f>'Список дел'!$E110*100</f>
        <v>#REF!</v>
      </c>
      <c r="G110" s="10" t="e">
        <f>'Список дел'!$D110&amp;"."&amp;TEXT('Список дел'!$F110,"#")</f>
        <v>#REF!</v>
      </c>
      <c r="H110" s="12" t="str">
        <f>IF(AND(Таблица24[[#This Row],[Задачи]]="",Таблица24[[#This Row],[Подзадачи]]=""),"",IF(Таблица24[[#This Row],[Задачи]]="","     "&amp;$G110&amp;" "&amp;$I110&amp;$J110,$G110&amp;" "&amp;$I110&amp;$J110))</f>
        <v/>
      </c>
      <c r="I110" s="12"/>
      <c r="J110" s="12"/>
      <c r="K110" s="12"/>
      <c r="L110" s="12"/>
      <c r="M110" s="2"/>
      <c r="N110" s="2"/>
      <c r="O110" s="2"/>
      <c r="P110" s="2"/>
      <c r="Q110" s="17"/>
      <c r="Z110" t="str">
        <f>IF(Таблица24[[#This Row],[Подзадачи]]="",IF($Y110=TRUE,SoundMe2(),""),IF($Y110=TRUE,SoundMe(),""))</f>
        <v/>
      </c>
    </row>
    <row r="111" spans="1:26" x14ac:dyDescent="0.25">
      <c r="A111" s="14" t="str">
        <f>IF('Список дел'!$I111&lt;&gt;"",MAX($A$1:A110)+1,"")</f>
        <v/>
      </c>
      <c r="B111" s="10" t="e">
        <f t="shared" si="3"/>
        <v>#REF!</v>
      </c>
      <c r="C111" s="10" t="e">
        <f t="shared" si="4"/>
        <v>#REF!</v>
      </c>
      <c r="D111" s="10" t="e">
        <f>TRUNC('Список дел'!$B111)</f>
        <v>#REF!</v>
      </c>
      <c r="E111" s="10" t="e">
        <f>'Список дел'!$B111-'Список дел'!$D111</f>
        <v>#REF!</v>
      </c>
      <c r="F111" s="10" t="e">
        <f>'Список дел'!$E111*100</f>
        <v>#REF!</v>
      </c>
      <c r="G111" s="10" t="e">
        <f>'Список дел'!$D111&amp;"."&amp;TEXT('Список дел'!$F111,"#")</f>
        <v>#REF!</v>
      </c>
      <c r="H111" s="12" t="str">
        <f>IF(AND(Таблица24[[#This Row],[Задачи]]="",Таблица24[[#This Row],[Подзадачи]]=""),"",IF(Таблица24[[#This Row],[Задачи]]="","     "&amp;$G111&amp;" "&amp;$I111&amp;$J111,$G111&amp;" "&amp;$I111&amp;$J111))</f>
        <v/>
      </c>
      <c r="I111" s="12"/>
      <c r="J111" s="12"/>
      <c r="K111" s="12"/>
      <c r="L111" s="12"/>
      <c r="M111" s="2"/>
      <c r="N111" s="2"/>
      <c r="O111" s="2"/>
      <c r="P111" s="2"/>
      <c r="Q111" s="17"/>
      <c r="Z111" t="str">
        <f>IF(Таблица24[[#This Row],[Подзадачи]]="",IF($Y111=TRUE,SoundMe2(),""),IF($Y111=TRUE,SoundMe(),""))</f>
        <v/>
      </c>
    </row>
    <row r="112" spans="1:26" x14ac:dyDescent="0.25">
      <c r="A112" s="14" t="str">
        <f>IF('Список дел'!$I112&lt;&gt;"",MAX($A$1:A111)+1,"")</f>
        <v/>
      </c>
      <c r="B112" s="10" t="e">
        <f t="shared" si="3"/>
        <v>#REF!</v>
      </c>
      <c r="C112" s="10" t="e">
        <f t="shared" si="4"/>
        <v>#REF!</v>
      </c>
      <c r="D112" s="10" t="e">
        <f>TRUNC('Список дел'!$B112)</f>
        <v>#REF!</v>
      </c>
      <c r="E112" s="10" t="e">
        <f>'Список дел'!$B112-'Список дел'!$D112</f>
        <v>#REF!</v>
      </c>
      <c r="F112" s="10" t="e">
        <f>'Список дел'!$E112*100</f>
        <v>#REF!</v>
      </c>
      <c r="G112" s="10" t="e">
        <f>'Список дел'!$D112&amp;"."&amp;TEXT('Список дел'!$F112,"#")</f>
        <v>#REF!</v>
      </c>
      <c r="H112" s="12" t="str">
        <f>IF(AND(Таблица24[[#This Row],[Задачи]]="",Таблица24[[#This Row],[Подзадачи]]=""),"",IF(Таблица24[[#This Row],[Задачи]]="","     "&amp;$G112&amp;" "&amp;$I112&amp;$J112,$G112&amp;" "&amp;$I112&amp;$J112))</f>
        <v/>
      </c>
      <c r="I112" s="12"/>
      <c r="J112" s="12"/>
      <c r="K112" s="12"/>
      <c r="L112" s="12"/>
      <c r="M112" s="2"/>
      <c r="N112" s="2"/>
      <c r="O112" s="2"/>
      <c r="P112" s="2"/>
      <c r="Q112" s="17"/>
      <c r="Z112" t="str">
        <f>IF(Таблица24[[#This Row],[Подзадачи]]="",IF($Y112=TRUE,SoundMe2(),""),IF($Y112=TRUE,SoundMe(),""))</f>
        <v/>
      </c>
    </row>
    <row r="113" spans="1:26" x14ac:dyDescent="0.25">
      <c r="A113" s="14" t="str">
        <f>IF('Список дел'!$I113&lt;&gt;"",MAX($A$1:A112)+1,"")</f>
        <v/>
      </c>
      <c r="B113" s="10" t="e">
        <f t="shared" si="3"/>
        <v>#REF!</v>
      </c>
      <c r="C113" s="10" t="e">
        <f t="shared" si="4"/>
        <v>#REF!</v>
      </c>
      <c r="D113" s="10" t="e">
        <f>TRUNC('Список дел'!$B113)</f>
        <v>#REF!</v>
      </c>
      <c r="E113" s="10" t="e">
        <f>'Список дел'!$B113-'Список дел'!$D113</f>
        <v>#REF!</v>
      </c>
      <c r="F113" s="10" t="e">
        <f>'Список дел'!$E113*100</f>
        <v>#REF!</v>
      </c>
      <c r="G113" s="10" t="e">
        <f>'Список дел'!$D113&amp;"."&amp;TEXT('Список дел'!$F113,"#")</f>
        <v>#REF!</v>
      </c>
      <c r="H113" s="12" t="str">
        <f>IF(AND(Таблица24[[#This Row],[Задачи]]="",Таблица24[[#This Row],[Подзадачи]]=""),"",IF(Таблица24[[#This Row],[Задачи]]="","     "&amp;$G113&amp;" "&amp;$I113&amp;$J113,$G113&amp;" "&amp;$I113&amp;$J113))</f>
        <v/>
      </c>
      <c r="I113" s="12"/>
      <c r="J113" s="12"/>
      <c r="K113" s="12"/>
      <c r="L113" s="12"/>
      <c r="M113" s="2"/>
      <c r="N113" s="2"/>
      <c r="O113" s="2"/>
      <c r="P113" s="2"/>
      <c r="Q113" s="17"/>
      <c r="Z113" t="str">
        <f>IF(Таблица24[[#This Row],[Подзадачи]]="",IF($Y113=TRUE,SoundMe2(),""),IF($Y113=TRUE,SoundMe(),""))</f>
        <v/>
      </c>
    </row>
    <row r="114" spans="1:26" x14ac:dyDescent="0.25">
      <c r="A114" s="14" t="str">
        <f>IF('Список дел'!$I114&lt;&gt;"",MAX($A$1:A113)+1,"")</f>
        <v/>
      </c>
      <c r="B114" s="10" t="e">
        <f t="shared" si="3"/>
        <v>#REF!</v>
      </c>
      <c r="C114" s="10" t="e">
        <f t="shared" si="4"/>
        <v>#REF!</v>
      </c>
      <c r="D114" s="10" t="e">
        <f>TRUNC('Список дел'!$B114)</f>
        <v>#REF!</v>
      </c>
      <c r="E114" s="10" t="e">
        <f>'Список дел'!$B114-'Список дел'!$D114</f>
        <v>#REF!</v>
      </c>
      <c r="F114" s="10" t="e">
        <f>'Список дел'!$E114*100</f>
        <v>#REF!</v>
      </c>
      <c r="G114" s="10" t="e">
        <f>'Список дел'!$D114&amp;"."&amp;TEXT('Список дел'!$F114,"#")</f>
        <v>#REF!</v>
      </c>
      <c r="H114" s="12" t="str">
        <f>IF(AND(Таблица24[[#This Row],[Задачи]]="",Таблица24[[#This Row],[Подзадачи]]=""),"",IF(Таблица24[[#This Row],[Задачи]]="","     "&amp;$G114&amp;" "&amp;$I114&amp;$J114,$G114&amp;" "&amp;$I114&amp;$J114))</f>
        <v/>
      </c>
      <c r="I114" s="12"/>
      <c r="J114" s="12"/>
      <c r="K114" s="12"/>
      <c r="L114" s="12"/>
      <c r="M114" s="2"/>
      <c r="N114" s="2"/>
      <c r="O114" s="2"/>
      <c r="P114" s="2"/>
      <c r="Q114" s="17"/>
      <c r="Z114" t="str">
        <f>IF(Таблица24[[#This Row],[Подзадачи]]="",IF($Y114=TRUE,SoundMe2(),""),IF($Y114=TRUE,SoundMe(),""))</f>
        <v/>
      </c>
    </row>
    <row r="115" spans="1:26" x14ac:dyDescent="0.25">
      <c r="A115" s="14" t="str">
        <f>IF('Список дел'!$I115&lt;&gt;"",MAX($A$1:A114)+1,"")</f>
        <v/>
      </c>
      <c r="B115" s="10" t="e">
        <f t="shared" si="3"/>
        <v>#REF!</v>
      </c>
      <c r="C115" s="10" t="e">
        <f t="shared" si="4"/>
        <v>#REF!</v>
      </c>
      <c r="D115" s="10" t="e">
        <f>TRUNC('Список дел'!$B115)</f>
        <v>#REF!</v>
      </c>
      <c r="E115" s="10" t="e">
        <f>'Список дел'!$B115-'Список дел'!$D115</f>
        <v>#REF!</v>
      </c>
      <c r="F115" s="10" t="e">
        <f>'Список дел'!$E115*100</f>
        <v>#REF!</v>
      </c>
      <c r="G115" s="10" t="e">
        <f>'Список дел'!$D115&amp;"."&amp;TEXT('Список дел'!$F115,"#")</f>
        <v>#REF!</v>
      </c>
      <c r="H115" s="12" t="str">
        <f>IF(AND(Таблица24[[#This Row],[Задачи]]="",Таблица24[[#This Row],[Подзадачи]]=""),"",IF(Таблица24[[#This Row],[Задачи]]="","     "&amp;$G115&amp;" "&amp;$I115&amp;$J115,$G115&amp;" "&amp;$I115&amp;$J115))</f>
        <v/>
      </c>
      <c r="I115" s="12"/>
      <c r="J115" s="12"/>
      <c r="K115" s="12"/>
      <c r="L115" s="12"/>
      <c r="M115" s="2"/>
      <c r="N115" s="2"/>
      <c r="O115" s="2"/>
      <c r="P115" s="2"/>
      <c r="Q115" s="17"/>
      <c r="Z115" t="str">
        <f>IF(Таблица24[[#This Row],[Подзадачи]]="",IF($Y115=TRUE,SoundMe2(),""),IF($Y115=TRUE,SoundMe(),""))</f>
        <v/>
      </c>
    </row>
    <row r="116" spans="1:26" x14ac:dyDescent="0.25">
      <c r="A116" s="14" t="str">
        <f>IF('Список дел'!$I116&lt;&gt;"",MAX($A$1:A115)+1,"")</f>
        <v/>
      </c>
      <c r="B116" s="10" t="e">
        <f t="shared" si="3"/>
        <v>#REF!</v>
      </c>
      <c r="C116" s="10" t="e">
        <f t="shared" si="4"/>
        <v>#REF!</v>
      </c>
      <c r="D116" s="10" t="e">
        <f>TRUNC('Список дел'!$B116)</f>
        <v>#REF!</v>
      </c>
      <c r="E116" s="10" t="e">
        <f>'Список дел'!$B116-'Список дел'!$D116</f>
        <v>#REF!</v>
      </c>
      <c r="F116" s="10" t="e">
        <f>'Список дел'!$E116*100</f>
        <v>#REF!</v>
      </c>
      <c r="G116" s="10" t="e">
        <f>'Список дел'!$D116&amp;"."&amp;TEXT('Список дел'!$F116,"#")</f>
        <v>#REF!</v>
      </c>
      <c r="H116" s="12" t="str">
        <f>IF(AND(Таблица24[[#This Row],[Задачи]]="",Таблица24[[#This Row],[Подзадачи]]=""),"",IF(Таблица24[[#This Row],[Задачи]]="","     "&amp;$G116&amp;" "&amp;$I116&amp;$J116,$G116&amp;" "&amp;$I116&amp;$J116))</f>
        <v/>
      </c>
      <c r="I116" s="12"/>
      <c r="J116" s="12"/>
      <c r="K116" s="12"/>
      <c r="L116" s="12"/>
      <c r="M116" s="2"/>
      <c r="N116" s="2"/>
      <c r="O116" s="2"/>
      <c r="P116" s="2"/>
      <c r="Q116" s="17"/>
      <c r="Z116" t="str">
        <f>IF(Таблица24[[#This Row],[Подзадачи]]="",IF($Y116=TRUE,SoundMe2(),""),IF($Y116=TRUE,SoundMe(),""))</f>
        <v/>
      </c>
    </row>
    <row r="117" spans="1:26" x14ac:dyDescent="0.25">
      <c r="A117" s="14" t="str">
        <f>IF('Список дел'!$I117&lt;&gt;"",MAX($A$1:A116)+1,"")</f>
        <v/>
      </c>
      <c r="B117" s="10" t="e">
        <f t="shared" si="3"/>
        <v>#REF!</v>
      </c>
      <c r="C117" s="10" t="e">
        <f t="shared" si="4"/>
        <v>#REF!</v>
      </c>
      <c r="D117" s="10" t="e">
        <f>TRUNC('Список дел'!$B117)</f>
        <v>#REF!</v>
      </c>
      <c r="E117" s="10" t="e">
        <f>'Список дел'!$B117-'Список дел'!$D117</f>
        <v>#REF!</v>
      </c>
      <c r="F117" s="10" t="e">
        <f>'Список дел'!$E117*100</f>
        <v>#REF!</v>
      </c>
      <c r="G117" s="10" t="e">
        <f>'Список дел'!$D117&amp;"."&amp;TEXT('Список дел'!$F117,"#")</f>
        <v>#REF!</v>
      </c>
      <c r="H117" s="12" t="str">
        <f>IF(AND(Таблица24[[#This Row],[Задачи]]="",Таблица24[[#This Row],[Подзадачи]]=""),"",IF(Таблица24[[#This Row],[Задачи]]="","     "&amp;$G117&amp;" "&amp;$I117&amp;$J117,$G117&amp;" "&amp;$I117&amp;$J117))</f>
        <v/>
      </c>
      <c r="I117" s="12"/>
      <c r="J117" s="12"/>
      <c r="K117" s="12"/>
      <c r="L117" s="12"/>
      <c r="M117" s="2"/>
      <c r="N117" s="2"/>
      <c r="O117" s="2"/>
      <c r="P117" s="2"/>
      <c r="Q117" s="17"/>
      <c r="Z117" t="str">
        <f>IF(Таблица24[[#This Row],[Подзадачи]]="",IF($Y117=TRUE,SoundMe2(),""),IF($Y117=TRUE,SoundMe(),""))</f>
        <v/>
      </c>
    </row>
    <row r="118" spans="1:26" x14ac:dyDescent="0.25">
      <c r="A118" s="14" t="str">
        <f>IF('Список дел'!$I118&lt;&gt;"",MAX($A$1:A117)+1,"")</f>
        <v/>
      </c>
      <c r="B118" s="10" t="e">
        <f t="shared" si="3"/>
        <v>#REF!</v>
      </c>
      <c r="C118" s="10" t="e">
        <f t="shared" si="4"/>
        <v>#REF!</v>
      </c>
      <c r="D118" s="10" t="e">
        <f>TRUNC('Список дел'!$B118)</f>
        <v>#REF!</v>
      </c>
      <c r="E118" s="10" t="e">
        <f>'Список дел'!$B118-'Список дел'!$D118</f>
        <v>#REF!</v>
      </c>
      <c r="F118" s="10" t="e">
        <f>'Список дел'!$E118*100</f>
        <v>#REF!</v>
      </c>
      <c r="G118" s="10" t="e">
        <f>'Список дел'!$D118&amp;"."&amp;TEXT('Список дел'!$F118,"#")</f>
        <v>#REF!</v>
      </c>
      <c r="H118" s="12" t="str">
        <f>IF(AND(Таблица24[[#This Row],[Задачи]]="",Таблица24[[#This Row],[Подзадачи]]=""),"",IF(Таблица24[[#This Row],[Задачи]]="","     "&amp;$G118&amp;" "&amp;$I118&amp;$J118,$G118&amp;" "&amp;$I118&amp;$J118))</f>
        <v/>
      </c>
      <c r="I118" s="12"/>
      <c r="J118" s="12"/>
      <c r="K118" s="12"/>
      <c r="L118" s="12"/>
      <c r="M118" s="2"/>
      <c r="N118" s="2"/>
      <c r="O118" s="2"/>
      <c r="P118" s="2"/>
      <c r="Q118" s="17"/>
      <c r="Z118" t="str">
        <f>IF(Таблица24[[#This Row],[Подзадачи]]="",IF($Y118=TRUE,SoundMe2(),""),IF($Y118=TRUE,SoundMe(),""))</f>
        <v/>
      </c>
    </row>
    <row r="119" spans="1:26" x14ac:dyDescent="0.25">
      <c r="A119" s="14" t="str">
        <f>IF('Список дел'!$I119&lt;&gt;"",MAX($A$1:A118)+1,"")</f>
        <v/>
      </c>
      <c r="B119" s="10" t="e">
        <f t="shared" si="3"/>
        <v>#REF!</v>
      </c>
      <c r="C119" s="10" t="e">
        <f t="shared" si="4"/>
        <v>#REF!</v>
      </c>
      <c r="D119" s="10" t="e">
        <f>TRUNC('Список дел'!$B119)</f>
        <v>#REF!</v>
      </c>
      <c r="E119" s="10" t="e">
        <f>'Список дел'!$B119-'Список дел'!$D119</f>
        <v>#REF!</v>
      </c>
      <c r="F119" s="10" t="e">
        <f>'Список дел'!$E119*100</f>
        <v>#REF!</v>
      </c>
      <c r="G119" s="10" t="e">
        <f>'Список дел'!$D119&amp;"."&amp;TEXT('Список дел'!$F119,"#")</f>
        <v>#REF!</v>
      </c>
      <c r="H119" s="12" t="str">
        <f>IF(AND(Таблица24[[#This Row],[Задачи]]="",Таблица24[[#This Row],[Подзадачи]]=""),"",IF(Таблица24[[#This Row],[Задачи]]="","     "&amp;$G119&amp;" "&amp;$I119&amp;$J119,$G119&amp;" "&amp;$I119&amp;$J119))</f>
        <v/>
      </c>
      <c r="I119" s="12"/>
      <c r="J119" s="12"/>
      <c r="K119" s="12"/>
      <c r="L119" s="12"/>
      <c r="M119" s="2"/>
      <c r="N119" s="2"/>
      <c r="O119" s="2"/>
      <c r="P119" s="2"/>
      <c r="Q119" s="17"/>
      <c r="Z119" t="str">
        <f>IF(Таблица24[[#This Row],[Подзадачи]]="",IF($Y119=TRUE,SoundMe2(),""),IF($Y119=TRUE,SoundMe(),""))</f>
        <v/>
      </c>
    </row>
    <row r="120" spans="1:26" x14ac:dyDescent="0.25">
      <c r="A120" s="14" t="str">
        <f>IF('Список дел'!$I120&lt;&gt;"",MAX($A$1:A119)+1,"")</f>
        <v/>
      </c>
      <c r="B120" s="10" t="e">
        <f t="shared" si="3"/>
        <v>#REF!</v>
      </c>
      <c r="C120" s="10" t="e">
        <f t="shared" si="4"/>
        <v>#REF!</v>
      </c>
      <c r="D120" s="10" t="e">
        <f>TRUNC('Список дел'!$B120)</f>
        <v>#REF!</v>
      </c>
      <c r="E120" s="10" t="e">
        <f>'Список дел'!$B120-'Список дел'!$D120</f>
        <v>#REF!</v>
      </c>
      <c r="F120" s="10" t="e">
        <f>'Список дел'!$E120*100</f>
        <v>#REF!</v>
      </c>
      <c r="G120" s="10" t="e">
        <f>'Список дел'!$D120&amp;"."&amp;TEXT('Список дел'!$F120,"#")</f>
        <v>#REF!</v>
      </c>
      <c r="H120" s="12" t="str">
        <f>IF(AND(Таблица24[[#This Row],[Задачи]]="",Таблица24[[#This Row],[Подзадачи]]=""),"",IF(Таблица24[[#This Row],[Задачи]]="","     "&amp;$G120&amp;" "&amp;$I120&amp;$J120,$G120&amp;" "&amp;$I120&amp;$J120))</f>
        <v/>
      </c>
      <c r="I120" s="12"/>
      <c r="J120" s="12"/>
      <c r="K120" s="12"/>
      <c r="L120" s="12"/>
      <c r="M120" s="2"/>
      <c r="N120" s="2"/>
      <c r="O120" s="2"/>
      <c r="P120" s="2"/>
      <c r="Q120" s="17"/>
      <c r="Z120" t="str">
        <f>IF(Таблица24[[#This Row],[Подзадачи]]="",IF($Y120=TRUE,SoundMe2(),""),IF($Y120=TRUE,SoundMe(),""))</f>
        <v/>
      </c>
    </row>
    <row r="121" spans="1:26" x14ac:dyDescent="0.25">
      <c r="A121" s="14" t="str">
        <f>IF('Список дел'!$I121&lt;&gt;"",MAX($A$1:A120)+1,"")</f>
        <v/>
      </c>
      <c r="B121" s="10" t="e">
        <f t="shared" si="3"/>
        <v>#REF!</v>
      </c>
      <c r="C121" s="10" t="e">
        <f t="shared" si="4"/>
        <v>#REF!</v>
      </c>
      <c r="D121" s="10" t="e">
        <f>TRUNC('Список дел'!$B121)</f>
        <v>#REF!</v>
      </c>
      <c r="E121" s="10" t="e">
        <f>'Список дел'!$B121-'Список дел'!$D121</f>
        <v>#REF!</v>
      </c>
      <c r="F121" s="10" t="e">
        <f>'Список дел'!$E121*100</f>
        <v>#REF!</v>
      </c>
      <c r="G121" s="10" t="e">
        <f>'Список дел'!$D121&amp;"."&amp;TEXT('Список дел'!$F121,"#")</f>
        <v>#REF!</v>
      </c>
      <c r="H121" s="12" t="str">
        <f>IF(AND(Таблица24[[#This Row],[Задачи]]="",Таблица24[[#This Row],[Подзадачи]]=""),"",IF(Таблица24[[#This Row],[Задачи]]="","     "&amp;$G121&amp;" "&amp;$I121&amp;$J121,$G121&amp;" "&amp;$I121&amp;$J121))</f>
        <v/>
      </c>
      <c r="I121" s="12"/>
      <c r="J121" s="12"/>
      <c r="K121" s="12"/>
      <c r="L121" s="12"/>
      <c r="M121" s="2"/>
      <c r="N121" s="2"/>
      <c r="O121" s="2"/>
      <c r="P121" s="2"/>
      <c r="Q121" s="17"/>
      <c r="Z121" t="str">
        <f>IF(Таблица24[[#This Row],[Подзадачи]]="",IF($Y121=TRUE,SoundMe2(),""),IF($Y121=TRUE,SoundMe(),""))</f>
        <v/>
      </c>
    </row>
    <row r="122" spans="1:26" x14ac:dyDescent="0.25">
      <c r="A122" s="14" t="str">
        <f>IF('Список дел'!$I122&lt;&gt;"",MAX($A$1:A121)+1,"")</f>
        <v/>
      </c>
      <c r="B122" s="10" t="e">
        <f t="shared" si="3"/>
        <v>#REF!</v>
      </c>
      <c r="C122" s="10" t="e">
        <f t="shared" si="4"/>
        <v>#REF!</v>
      </c>
      <c r="D122" s="10" t="e">
        <f>TRUNC('Список дел'!$B122)</f>
        <v>#REF!</v>
      </c>
      <c r="E122" s="10" t="e">
        <f>'Список дел'!$B122-'Список дел'!$D122</f>
        <v>#REF!</v>
      </c>
      <c r="F122" s="10" t="e">
        <f>'Список дел'!$E122*100</f>
        <v>#REF!</v>
      </c>
      <c r="G122" s="10" t="e">
        <f>'Список дел'!$D122&amp;"."&amp;TEXT('Список дел'!$F122,"#")</f>
        <v>#REF!</v>
      </c>
      <c r="H122" s="12" t="str">
        <f>IF(AND(Таблица24[[#This Row],[Задачи]]="",Таблица24[[#This Row],[Подзадачи]]=""),"",IF(Таблица24[[#This Row],[Задачи]]="","     "&amp;$G122&amp;" "&amp;$I122&amp;$J122,$G122&amp;" "&amp;$I122&amp;$J122))</f>
        <v/>
      </c>
      <c r="I122" s="12"/>
      <c r="J122" s="12"/>
      <c r="K122" s="12"/>
      <c r="L122" s="12"/>
      <c r="M122" s="2"/>
      <c r="N122" s="2"/>
      <c r="O122" s="2"/>
      <c r="P122" s="2"/>
      <c r="Q122" s="17"/>
      <c r="Z122" t="str">
        <f>IF(Таблица24[[#This Row],[Подзадачи]]="",IF($Y122=TRUE,SoundMe2(),""),IF($Y122=TRUE,SoundMe(),""))</f>
        <v/>
      </c>
    </row>
    <row r="123" spans="1:26" x14ac:dyDescent="0.25">
      <c r="A123" s="14" t="str">
        <f>IF('Список дел'!$I123&lt;&gt;"",MAX($A$1:A122)+1,"")</f>
        <v/>
      </c>
      <c r="B123" s="10" t="e">
        <f t="shared" si="3"/>
        <v>#REF!</v>
      </c>
      <c r="C123" s="10" t="e">
        <f t="shared" si="4"/>
        <v>#REF!</v>
      </c>
      <c r="D123" s="10" t="e">
        <f>TRUNC('Список дел'!$B123)</f>
        <v>#REF!</v>
      </c>
      <c r="E123" s="10" t="e">
        <f>'Список дел'!$B123-'Список дел'!$D123</f>
        <v>#REF!</v>
      </c>
      <c r="F123" s="10" t="e">
        <f>'Список дел'!$E123*100</f>
        <v>#REF!</v>
      </c>
      <c r="G123" s="10" t="e">
        <f>'Список дел'!$D123&amp;"."&amp;TEXT('Список дел'!$F123,"#")</f>
        <v>#REF!</v>
      </c>
      <c r="H123" s="12" t="str">
        <f>IF(AND(Таблица24[[#This Row],[Задачи]]="",Таблица24[[#This Row],[Подзадачи]]=""),"",IF(Таблица24[[#This Row],[Задачи]]="","     "&amp;$G123&amp;" "&amp;$I123&amp;$J123,$G123&amp;" "&amp;$I123&amp;$J123))</f>
        <v/>
      </c>
      <c r="I123" s="12"/>
      <c r="J123" s="12"/>
      <c r="K123" s="12"/>
      <c r="L123" s="12"/>
      <c r="M123" s="2"/>
      <c r="N123" s="2"/>
      <c r="O123" s="2"/>
      <c r="P123" s="2"/>
      <c r="Q123" s="17"/>
      <c r="Z123" t="str">
        <f>IF(Таблица24[[#This Row],[Подзадачи]]="",IF($Y123=TRUE,SoundMe2(),""),IF($Y123=TRUE,SoundMe(),""))</f>
        <v/>
      </c>
    </row>
    <row r="124" spans="1:26" x14ac:dyDescent="0.25">
      <c r="A124" s="14" t="str">
        <f>IF('Список дел'!$I124&lt;&gt;"",MAX($A$1:A123)+1,"")</f>
        <v/>
      </c>
      <c r="B124" s="10" t="e">
        <f t="shared" si="3"/>
        <v>#REF!</v>
      </c>
      <c r="C124" s="10" t="e">
        <f t="shared" si="4"/>
        <v>#REF!</v>
      </c>
      <c r="D124" s="10" t="e">
        <f>TRUNC('Список дел'!$B124)</f>
        <v>#REF!</v>
      </c>
      <c r="E124" s="10" t="e">
        <f>'Список дел'!$B124-'Список дел'!$D124</f>
        <v>#REF!</v>
      </c>
      <c r="F124" s="10" t="e">
        <f>'Список дел'!$E124*100</f>
        <v>#REF!</v>
      </c>
      <c r="G124" s="10" t="e">
        <f>'Список дел'!$D124&amp;"."&amp;TEXT('Список дел'!$F124,"#")</f>
        <v>#REF!</v>
      </c>
      <c r="H124" s="12" t="str">
        <f>IF(AND(Таблица24[[#This Row],[Задачи]]="",Таблица24[[#This Row],[Подзадачи]]=""),"",IF(Таблица24[[#This Row],[Задачи]]="","     "&amp;$G124&amp;" "&amp;$I124&amp;$J124,$G124&amp;" "&amp;$I124&amp;$J124))</f>
        <v/>
      </c>
      <c r="I124" s="12"/>
      <c r="J124" s="12"/>
      <c r="K124" s="12"/>
      <c r="L124" s="12"/>
      <c r="M124" s="2"/>
      <c r="N124" s="2"/>
      <c r="O124" s="2"/>
      <c r="P124" s="2"/>
      <c r="Q124" s="17"/>
      <c r="Z124" t="str">
        <f>IF(Таблица24[[#This Row],[Подзадачи]]="",IF($Y124=TRUE,SoundMe2(),""),IF($Y124=TRUE,SoundMe(),""))</f>
        <v/>
      </c>
    </row>
    <row r="125" spans="1:26" x14ac:dyDescent="0.25">
      <c r="A125" s="14" t="str">
        <f>IF('Список дел'!$I125&lt;&gt;"",MAX($A$1:A124)+1,"")</f>
        <v/>
      </c>
      <c r="B125" s="10" t="e">
        <f t="shared" si="3"/>
        <v>#REF!</v>
      </c>
      <c r="C125" s="10" t="e">
        <f t="shared" si="4"/>
        <v>#REF!</v>
      </c>
      <c r="D125" s="10" t="e">
        <f>TRUNC('Список дел'!$B125)</f>
        <v>#REF!</v>
      </c>
      <c r="E125" s="10" t="e">
        <f>'Список дел'!$B125-'Список дел'!$D125</f>
        <v>#REF!</v>
      </c>
      <c r="F125" s="10" t="e">
        <f>'Список дел'!$E125*100</f>
        <v>#REF!</v>
      </c>
      <c r="G125" s="10" t="e">
        <f>'Список дел'!$D125&amp;"."&amp;TEXT('Список дел'!$F125,"#")</f>
        <v>#REF!</v>
      </c>
      <c r="H125" s="12" t="str">
        <f>IF(AND(Таблица24[[#This Row],[Задачи]]="",Таблица24[[#This Row],[Подзадачи]]=""),"",IF(Таблица24[[#This Row],[Задачи]]="","     "&amp;$G125&amp;" "&amp;$I125&amp;$J125,$G125&amp;" "&amp;$I125&amp;$J125))</f>
        <v/>
      </c>
      <c r="I125" s="12"/>
      <c r="J125" s="12"/>
      <c r="K125" s="12"/>
      <c r="L125" s="12"/>
      <c r="M125" s="2"/>
      <c r="N125" s="2"/>
      <c r="O125" s="2"/>
      <c r="P125" s="2"/>
      <c r="Q125" s="17"/>
      <c r="Z125" t="str">
        <f>IF(Таблица24[[#This Row],[Подзадачи]]="",IF($Y125=TRUE,SoundMe2(),""),IF($Y125=TRUE,SoundMe(),""))</f>
        <v/>
      </c>
    </row>
    <row r="126" spans="1:26" x14ac:dyDescent="0.25">
      <c r="A126" s="14" t="str">
        <f>IF('Список дел'!$I126&lt;&gt;"",MAX($A$1:A125)+1,"")</f>
        <v/>
      </c>
      <c r="B126" s="10" t="e">
        <f t="shared" ref="B126:B189" si="5">IF(A126&lt;&gt;"",A126,$B125+0.01)</f>
        <v>#REF!</v>
      </c>
      <c r="C126" s="10" t="e">
        <f t="shared" ref="C126:C189" si="6">IF(B126&lt;&gt;"",B126,C125+0.01)</f>
        <v>#REF!</v>
      </c>
      <c r="D126" s="10" t="e">
        <f>TRUNC('Список дел'!$B126)</f>
        <v>#REF!</v>
      </c>
      <c r="E126" s="10" t="e">
        <f>'Список дел'!$B126-'Список дел'!$D126</f>
        <v>#REF!</v>
      </c>
      <c r="F126" s="10" t="e">
        <f>'Список дел'!$E126*100</f>
        <v>#REF!</v>
      </c>
      <c r="G126" s="10" t="e">
        <f>'Список дел'!$D126&amp;"."&amp;TEXT('Список дел'!$F126,"#")</f>
        <v>#REF!</v>
      </c>
      <c r="H126" s="12" t="str">
        <f>IF(AND(Таблица24[[#This Row],[Задачи]]="",Таблица24[[#This Row],[Подзадачи]]=""),"",IF(Таблица24[[#This Row],[Задачи]]="","     "&amp;$G126&amp;" "&amp;$I126&amp;$J126,$G126&amp;" "&amp;$I126&amp;$J126))</f>
        <v/>
      </c>
      <c r="I126" s="12"/>
      <c r="J126" s="12"/>
      <c r="K126" s="12"/>
      <c r="L126" s="12"/>
      <c r="M126" s="2"/>
      <c r="N126" s="2"/>
      <c r="O126" s="2"/>
      <c r="P126" s="2"/>
      <c r="Q126" s="17"/>
      <c r="Z126" t="str">
        <f>IF(Таблица24[[#This Row],[Подзадачи]]="",IF($Y126=TRUE,SoundMe2(),""),IF($Y126=TRUE,SoundMe(),""))</f>
        <v/>
      </c>
    </row>
    <row r="127" spans="1:26" x14ac:dyDescent="0.25">
      <c r="A127" s="14" t="str">
        <f>IF('Список дел'!$I127&lt;&gt;"",MAX($A$1:A126)+1,"")</f>
        <v/>
      </c>
      <c r="B127" s="10" t="e">
        <f t="shared" si="5"/>
        <v>#REF!</v>
      </c>
      <c r="C127" s="10" t="e">
        <f t="shared" si="6"/>
        <v>#REF!</v>
      </c>
      <c r="D127" s="10" t="e">
        <f>TRUNC('Список дел'!$B127)</f>
        <v>#REF!</v>
      </c>
      <c r="E127" s="10" t="e">
        <f>'Список дел'!$B127-'Список дел'!$D127</f>
        <v>#REF!</v>
      </c>
      <c r="F127" s="10" t="e">
        <f>'Список дел'!$E127*100</f>
        <v>#REF!</v>
      </c>
      <c r="G127" s="10" t="e">
        <f>'Список дел'!$D127&amp;"."&amp;TEXT('Список дел'!$F127,"#")</f>
        <v>#REF!</v>
      </c>
      <c r="H127" s="12" t="str">
        <f>IF(AND(Таблица24[[#This Row],[Задачи]]="",Таблица24[[#This Row],[Подзадачи]]=""),"",IF(Таблица24[[#This Row],[Задачи]]="","     "&amp;$G127&amp;" "&amp;$I127&amp;$J127,$G127&amp;" "&amp;$I127&amp;$J127))</f>
        <v/>
      </c>
      <c r="I127" s="12"/>
      <c r="J127" s="12"/>
      <c r="K127" s="12"/>
      <c r="L127" s="12"/>
      <c r="M127" s="2"/>
      <c r="N127" s="2"/>
      <c r="O127" s="2"/>
      <c r="P127" s="2"/>
      <c r="Q127" s="17"/>
      <c r="Z127" t="str">
        <f>IF(Таблица24[[#This Row],[Подзадачи]]="",IF($Y127=TRUE,SoundMe2(),""),IF($Y127=TRUE,SoundMe(),""))</f>
        <v/>
      </c>
    </row>
    <row r="128" spans="1:26" x14ac:dyDescent="0.25">
      <c r="A128" s="14" t="str">
        <f>IF('Список дел'!$I128&lt;&gt;"",MAX($A$1:A127)+1,"")</f>
        <v/>
      </c>
      <c r="B128" s="10" t="e">
        <f t="shared" si="5"/>
        <v>#REF!</v>
      </c>
      <c r="C128" s="10" t="e">
        <f t="shared" si="6"/>
        <v>#REF!</v>
      </c>
      <c r="D128" s="10" t="e">
        <f>TRUNC('Список дел'!$B128)</f>
        <v>#REF!</v>
      </c>
      <c r="E128" s="10" t="e">
        <f>'Список дел'!$B128-'Список дел'!$D128</f>
        <v>#REF!</v>
      </c>
      <c r="F128" s="10" t="e">
        <f>'Список дел'!$E128*100</f>
        <v>#REF!</v>
      </c>
      <c r="G128" s="10" t="e">
        <f>'Список дел'!$D128&amp;"."&amp;TEXT('Список дел'!$F128,"#")</f>
        <v>#REF!</v>
      </c>
      <c r="H128" s="12" t="str">
        <f>IF(AND(Таблица24[[#This Row],[Задачи]]="",Таблица24[[#This Row],[Подзадачи]]=""),"",IF(Таблица24[[#This Row],[Задачи]]="","     "&amp;$G128&amp;" "&amp;$I128&amp;$J128,$G128&amp;" "&amp;$I128&amp;$J128))</f>
        <v/>
      </c>
      <c r="I128" s="12"/>
      <c r="J128" s="12"/>
      <c r="K128" s="12"/>
      <c r="L128" s="12"/>
      <c r="M128" s="2"/>
      <c r="N128" s="2"/>
      <c r="O128" s="2"/>
      <c r="P128" s="2"/>
      <c r="Q128" s="17"/>
      <c r="Z128" t="str">
        <f>IF(Таблица24[[#This Row],[Подзадачи]]="",IF($Y128=TRUE,SoundMe2(),""),IF($Y128=TRUE,SoundMe(),""))</f>
        <v/>
      </c>
    </row>
    <row r="129" spans="1:26" x14ac:dyDescent="0.25">
      <c r="A129" s="14" t="str">
        <f>IF('Список дел'!$I129&lt;&gt;"",MAX($A$1:A128)+1,"")</f>
        <v/>
      </c>
      <c r="B129" s="10" t="e">
        <f t="shared" si="5"/>
        <v>#REF!</v>
      </c>
      <c r="C129" s="10" t="e">
        <f t="shared" si="6"/>
        <v>#REF!</v>
      </c>
      <c r="D129" s="10" t="e">
        <f>TRUNC('Список дел'!$B129)</f>
        <v>#REF!</v>
      </c>
      <c r="E129" s="10" t="e">
        <f>'Список дел'!$B129-'Список дел'!$D129</f>
        <v>#REF!</v>
      </c>
      <c r="F129" s="10" t="e">
        <f>'Список дел'!$E129*100</f>
        <v>#REF!</v>
      </c>
      <c r="G129" s="10" t="e">
        <f>'Список дел'!$D129&amp;"."&amp;TEXT('Список дел'!$F129,"#")</f>
        <v>#REF!</v>
      </c>
      <c r="H129" s="12" t="str">
        <f>IF(AND(Таблица24[[#This Row],[Задачи]]="",Таблица24[[#This Row],[Подзадачи]]=""),"",IF(Таблица24[[#This Row],[Задачи]]="","     "&amp;$G129&amp;" "&amp;$I129&amp;$J129,$G129&amp;" "&amp;$I129&amp;$J129))</f>
        <v/>
      </c>
      <c r="I129" s="12"/>
      <c r="J129" s="12"/>
      <c r="K129" s="12"/>
      <c r="L129" s="12"/>
      <c r="M129" s="2"/>
      <c r="N129" s="2"/>
      <c r="O129" s="2"/>
      <c r="P129" s="2"/>
      <c r="Q129" s="17"/>
      <c r="Z129" t="str">
        <f>IF(Таблица24[[#This Row],[Подзадачи]]="",IF($Y129=TRUE,SoundMe2(),""),IF($Y129=TRUE,SoundMe(),""))</f>
        <v/>
      </c>
    </row>
    <row r="130" spans="1:26" x14ac:dyDescent="0.25">
      <c r="A130" s="14" t="str">
        <f>IF('Список дел'!$I130&lt;&gt;"",MAX($A$1:A129)+1,"")</f>
        <v/>
      </c>
      <c r="B130" s="10" t="e">
        <f t="shared" si="5"/>
        <v>#REF!</v>
      </c>
      <c r="C130" s="10" t="e">
        <f t="shared" si="6"/>
        <v>#REF!</v>
      </c>
      <c r="D130" s="10" t="e">
        <f>TRUNC('Список дел'!$B130)</f>
        <v>#REF!</v>
      </c>
      <c r="E130" s="10" t="e">
        <f>'Список дел'!$B130-'Список дел'!$D130</f>
        <v>#REF!</v>
      </c>
      <c r="F130" s="10" t="e">
        <f>'Список дел'!$E130*100</f>
        <v>#REF!</v>
      </c>
      <c r="G130" s="10" t="e">
        <f>'Список дел'!$D130&amp;"."&amp;TEXT('Список дел'!$F130,"#")</f>
        <v>#REF!</v>
      </c>
      <c r="H130" s="12" t="str">
        <f>IF(AND(Таблица24[[#This Row],[Задачи]]="",Таблица24[[#This Row],[Подзадачи]]=""),"",IF(Таблица24[[#This Row],[Задачи]]="","     "&amp;$G130&amp;" "&amp;$I130&amp;$J130,$G130&amp;" "&amp;$I130&amp;$J130))</f>
        <v/>
      </c>
      <c r="I130" s="12"/>
      <c r="J130" s="12"/>
      <c r="K130" s="12"/>
      <c r="L130" s="12"/>
      <c r="M130" s="2"/>
      <c r="N130" s="2"/>
      <c r="O130" s="2"/>
      <c r="P130" s="2"/>
      <c r="Q130" s="17"/>
      <c r="Z130" t="str">
        <f>IF(Таблица24[[#This Row],[Подзадачи]]="",IF($Y130=TRUE,SoundMe2(),""),IF($Y130=TRUE,SoundMe(),""))</f>
        <v/>
      </c>
    </row>
    <row r="131" spans="1:26" x14ac:dyDescent="0.25">
      <c r="A131" s="14" t="str">
        <f>IF('Список дел'!$I131&lt;&gt;"",MAX($A$1:A130)+1,"")</f>
        <v/>
      </c>
      <c r="B131" s="10" t="e">
        <f t="shared" si="5"/>
        <v>#REF!</v>
      </c>
      <c r="C131" s="10" t="e">
        <f t="shared" si="6"/>
        <v>#REF!</v>
      </c>
      <c r="D131" s="10" t="e">
        <f>TRUNC('Список дел'!$B131)</f>
        <v>#REF!</v>
      </c>
      <c r="E131" s="10" t="e">
        <f>'Список дел'!$B131-'Список дел'!$D131</f>
        <v>#REF!</v>
      </c>
      <c r="F131" s="10" t="e">
        <f>'Список дел'!$E131*100</f>
        <v>#REF!</v>
      </c>
      <c r="G131" s="10" t="e">
        <f>'Список дел'!$D131&amp;"."&amp;TEXT('Список дел'!$F131,"#")</f>
        <v>#REF!</v>
      </c>
      <c r="H131" s="12" t="str">
        <f>IF(AND(Таблица24[[#This Row],[Задачи]]="",Таблица24[[#This Row],[Подзадачи]]=""),"",IF(Таблица24[[#This Row],[Задачи]]="","     "&amp;$G131&amp;" "&amp;$I131&amp;$J131,$G131&amp;" "&amp;$I131&amp;$J131))</f>
        <v/>
      </c>
      <c r="I131" s="12"/>
      <c r="J131" s="12"/>
      <c r="K131" s="12"/>
      <c r="L131" s="12"/>
      <c r="M131" s="2"/>
      <c r="N131" s="2"/>
      <c r="O131" s="2"/>
      <c r="P131" s="2"/>
      <c r="Q131" s="17"/>
      <c r="Z131" t="str">
        <f>IF(Таблица24[[#This Row],[Подзадачи]]="",IF($Y131=TRUE,SoundMe2(),""),IF($Y131=TRUE,SoundMe(),""))</f>
        <v/>
      </c>
    </row>
    <row r="132" spans="1:26" x14ac:dyDescent="0.25">
      <c r="A132" s="14" t="str">
        <f>IF('Список дел'!$I132&lt;&gt;"",MAX($A$1:A131)+1,"")</f>
        <v/>
      </c>
      <c r="B132" s="10" t="e">
        <f t="shared" si="5"/>
        <v>#REF!</v>
      </c>
      <c r="C132" s="10" t="e">
        <f t="shared" si="6"/>
        <v>#REF!</v>
      </c>
      <c r="D132" s="10" t="e">
        <f>TRUNC('Список дел'!$B132)</f>
        <v>#REF!</v>
      </c>
      <c r="E132" s="10" t="e">
        <f>'Список дел'!$B132-'Список дел'!$D132</f>
        <v>#REF!</v>
      </c>
      <c r="F132" s="10" t="e">
        <f>'Список дел'!$E132*100</f>
        <v>#REF!</v>
      </c>
      <c r="G132" s="10" t="e">
        <f>'Список дел'!$D132&amp;"."&amp;TEXT('Список дел'!$F132,"#")</f>
        <v>#REF!</v>
      </c>
      <c r="H132" s="12" t="str">
        <f>IF(AND(Таблица24[[#This Row],[Задачи]]="",Таблица24[[#This Row],[Подзадачи]]=""),"",IF(Таблица24[[#This Row],[Задачи]]="","     "&amp;$G132&amp;" "&amp;$I132&amp;$J132,$G132&amp;" "&amp;$I132&amp;$J132))</f>
        <v/>
      </c>
      <c r="I132" s="12"/>
      <c r="J132" s="12"/>
      <c r="K132" s="12"/>
      <c r="L132" s="12"/>
      <c r="M132" s="2"/>
      <c r="N132" s="2"/>
      <c r="O132" s="2"/>
      <c r="P132" s="2"/>
      <c r="Q132" s="17"/>
      <c r="Z132" t="str">
        <f>IF(Таблица24[[#This Row],[Подзадачи]]="",IF($Y132=TRUE,SoundMe2(),""),IF($Y132=TRUE,SoundMe(),""))</f>
        <v/>
      </c>
    </row>
    <row r="133" spans="1:26" x14ac:dyDescent="0.25">
      <c r="A133" s="14" t="str">
        <f>IF('Список дел'!$I133&lt;&gt;"",MAX($A$1:A132)+1,"")</f>
        <v/>
      </c>
      <c r="B133" s="10" t="e">
        <f t="shared" si="5"/>
        <v>#REF!</v>
      </c>
      <c r="C133" s="10" t="e">
        <f t="shared" si="6"/>
        <v>#REF!</v>
      </c>
      <c r="D133" s="10" t="e">
        <f>TRUNC('Список дел'!$B133)</f>
        <v>#REF!</v>
      </c>
      <c r="E133" s="10" t="e">
        <f>'Список дел'!$B133-'Список дел'!$D133</f>
        <v>#REF!</v>
      </c>
      <c r="F133" s="10" t="e">
        <f>'Список дел'!$E133*100</f>
        <v>#REF!</v>
      </c>
      <c r="G133" s="10" t="e">
        <f>'Список дел'!$D133&amp;"."&amp;TEXT('Список дел'!$F133,"#")</f>
        <v>#REF!</v>
      </c>
      <c r="H133" s="12" t="str">
        <f>IF(AND(Таблица24[[#This Row],[Задачи]]="",Таблица24[[#This Row],[Подзадачи]]=""),"",IF(Таблица24[[#This Row],[Задачи]]="","     "&amp;$G133&amp;" "&amp;$I133&amp;$J133,$G133&amp;" "&amp;$I133&amp;$J133))</f>
        <v/>
      </c>
      <c r="I133" s="12"/>
      <c r="J133" s="12"/>
      <c r="K133" s="12"/>
      <c r="L133" s="12"/>
      <c r="M133" s="2"/>
      <c r="N133" s="2"/>
      <c r="O133" s="2"/>
      <c r="P133" s="2"/>
      <c r="Q133" s="17"/>
      <c r="Z133" t="str">
        <f>IF(Таблица24[[#This Row],[Подзадачи]]="",IF($Y133=TRUE,SoundMe2(),""),IF($Y133=TRUE,SoundMe(),""))</f>
        <v/>
      </c>
    </row>
    <row r="134" spans="1:26" x14ac:dyDescent="0.25">
      <c r="A134" s="14" t="str">
        <f>IF('Список дел'!$I134&lt;&gt;"",MAX($A$1:A133)+1,"")</f>
        <v/>
      </c>
      <c r="B134" s="10" t="e">
        <f t="shared" si="5"/>
        <v>#REF!</v>
      </c>
      <c r="C134" s="10" t="e">
        <f t="shared" si="6"/>
        <v>#REF!</v>
      </c>
      <c r="D134" s="10" t="e">
        <f>TRUNC('Список дел'!$B134)</f>
        <v>#REF!</v>
      </c>
      <c r="E134" s="10" t="e">
        <f>'Список дел'!$B134-'Список дел'!$D134</f>
        <v>#REF!</v>
      </c>
      <c r="F134" s="10" t="e">
        <f>'Список дел'!$E134*100</f>
        <v>#REF!</v>
      </c>
      <c r="G134" s="10" t="e">
        <f>'Список дел'!$D134&amp;"."&amp;TEXT('Список дел'!$F134,"#")</f>
        <v>#REF!</v>
      </c>
      <c r="H134" s="12" t="str">
        <f>IF(AND(Таблица24[[#This Row],[Задачи]]="",Таблица24[[#This Row],[Подзадачи]]=""),"",IF(Таблица24[[#This Row],[Задачи]]="","     "&amp;$G134&amp;" "&amp;$I134&amp;$J134,$G134&amp;" "&amp;$I134&amp;$J134))</f>
        <v/>
      </c>
      <c r="I134" s="12"/>
      <c r="J134" s="12"/>
      <c r="K134" s="12"/>
      <c r="L134" s="12"/>
      <c r="M134" s="2"/>
      <c r="N134" s="2"/>
      <c r="O134" s="2"/>
      <c r="P134" s="2"/>
      <c r="Q134" s="17"/>
      <c r="Z134" t="str">
        <f>IF(Таблица24[[#This Row],[Подзадачи]]="",IF($Y134=TRUE,SoundMe2(),""),IF($Y134=TRUE,SoundMe(),""))</f>
        <v/>
      </c>
    </row>
    <row r="135" spans="1:26" x14ac:dyDescent="0.25">
      <c r="A135" s="14" t="str">
        <f>IF('Список дел'!$I135&lt;&gt;"",MAX($A$1:A134)+1,"")</f>
        <v/>
      </c>
      <c r="B135" s="10" t="e">
        <f t="shared" si="5"/>
        <v>#REF!</v>
      </c>
      <c r="C135" s="10" t="e">
        <f t="shared" si="6"/>
        <v>#REF!</v>
      </c>
      <c r="D135" s="10" t="e">
        <f>TRUNC('Список дел'!$B135)</f>
        <v>#REF!</v>
      </c>
      <c r="E135" s="10" t="e">
        <f>'Список дел'!$B135-'Список дел'!$D135</f>
        <v>#REF!</v>
      </c>
      <c r="F135" s="10" t="e">
        <f>'Список дел'!$E135*100</f>
        <v>#REF!</v>
      </c>
      <c r="G135" s="10" t="e">
        <f>'Список дел'!$D135&amp;"."&amp;TEXT('Список дел'!$F135,"#")</f>
        <v>#REF!</v>
      </c>
      <c r="H135" s="12" t="str">
        <f>IF(AND(Таблица24[[#This Row],[Задачи]]="",Таблица24[[#This Row],[Подзадачи]]=""),"",IF(Таблица24[[#This Row],[Задачи]]="","     "&amp;$G135&amp;" "&amp;$I135&amp;$J135,$G135&amp;" "&amp;$I135&amp;$J135))</f>
        <v/>
      </c>
      <c r="I135" s="12"/>
      <c r="J135" s="12"/>
      <c r="K135" s="12"/>
      <c r="L135" s="12"/>
      <c r="M135" s="2"/>
      <c r="N135" s="2"/>
      <c r="O135" s="2"/>
      <c r="P135" s="2"/>
      <c r="Q135" s="17"/>
      <c r="Z135" t="str">
        <f>IF(Таблица24[[#This Row],[Подзадачи]]="",IF($Y135=TRUE,SoundMe2(),""),IF($Y135=TRUE,SoundMe(),""))</f>
        <v/>
      </c>
    </row>
    <row r="136" spans="1:26" x14ac:dyDescent="0.25">
      <c r="A136" s="14" t="str">
        <f>IF('Список дел'!$I136&lt;&gt;"",MAX($A$1:A135)+1,"")</f>
        <v/>
      </c>
      <c r="B136" s="10" t="e">
        <f t="shared" si="5"/>
        <v>#REF!</v>
      </c>
      <c r="C136" s="10" t="e">
        <f t="shared" si="6"/>
        <v>#REF!</v>
      </c>
      <c r="D136" s="10" t="e">
        <f>TRUNC('Список дел'!$B136)</f>
        <v>#REF!</v>
      </c>
      <c r="E136" s="10" t="e">
        <f>'Список дел'!$B136-'Список дел'!$D136</f>
        <v>#REF!</v>
      </c>
      <c r="F136" s="10" t="e">
        <f>'Список дел'!$E136*100</f>
        <v>#REF!</v>
      </c>
      <c r="G136" s="10" t="e">
        <f>'Список дел'!$D136&amp;"."&amp;TEXT('Список дел'!$F136,"#")</f>
        <v>#REF!</v>
      </c>
      <c r="H136" s="12" t="str">
        <f>IF(AND(Таблица24[[#This Row],[Задачи]]="",Таблица24[[#This Row],[Подзадачи]]=""),"",IF(Таблица24[[#This Row],[Задачи]]="","     "&amp;$G136&amp;" "&amp;$I136&amp;$J136,$G136&amp;" "&amp;$I136&amp;$J136))</f>
        <v/>
      </c>
      <c r="I136" s="2"/>
      <c r="J136" s="2"/>
      <c r="K136" s="2"/>
      <c r="L136" s="2"/>
      <c r="M136" s="2"/>
      <c r="N136" s="2"/>
      <c r="O136" s="2"/>
      <c r="P136" s="2"/>
      <c r="Q136" s="17"/>
      <c r="Z136" t="str">
        <f>IF(Таблица24[[#This Row],[Подзадачи]]="",IF($Y136=TRUE,SoundMe2(),""),IF($Y136=TRUE,SoundMe(),""))</f>
        <v/>
      </c>
    </row>
    <row r="137" spans="1:26" x14ac:dyDescent="0.25">
      <c r="A137" s="14" t="str">
        <f>IF('Список дел'!$I137&lt;&gt;"",MAX($A$1:A136)+1,"")</f>
        <v/>
      </c>
      <c r="B137" s="10" t="e">
        <f t="shared" si="5"/>
        <v>#REF!</v>
      </c>
      <c r="C137" s="10" t="e">
        <f t="shared" si="6"/>
        <v>#REF!</v>
      </c>
      <c r="D137" s="10" t="e">
        <f>TRUNC('Список дел'!$B137)</f>
        <v>#REF!</v>
      </c>
      <c r="E137" s="10" t="e">
        <f>'Список дел'!$B137-'Список дел'!$D137</f>
        <v>#REF!</v>
      </c>
      <c r="F137" s="10" t="e">
        <f>'Список дел'!$E137*100</f>
        <v>#REF!</v>
      </c>
      <c r="G137" s="10" t="e">
        <f>'Список дел'!$D137&amp;"."&amp;TEXT('Список дел'!$F137,"#")</f>
        <v>#REF!</v>
      </c>
      <c r="H137" s="12" t="str">
        <f>IF(AND(Таблица24[[#This Row],[Задачи]]="",Таблица24[[#This Row],[Подзадачи]]=""),"",IF(Таблица24[[#This Row],[Задачи]]="","     "&amp;$G137&amp;" "&amp;$I137&amp;$J137,$G137&amp;" "&amp;$I137&amp;$J137))</f>
        <v/>
      </c>
      <c r="I137" s="2"/>
      <c r="J137" s="2"/>
      <c r="K137" s="2"/>
      <c r="L137" s="2"/>
      <c r="M137" s="2"/>
      <c r="N137" s="2"/>
      <c r="O137" s="2"/>
      <c r="P137" s="2"/>
      <c r="Q137" s="17"/>
      <c r="Z137" t="str">
        <f>IF(Таблица24[[#This Row],[Подзадачи]]="",IF($Y137=TRUE,SoundMe2(),""),IF($Y137=TRUE,SoundMe(),""))</f>
        <v/>
      </c>
    </row>
    <row r="138" spans="1:26" x14ac:dyDescent="0.25">
      <c r="A138" s="14" t="str">
        <f>IF('Список дел'!$I138&lt;&gt;"",MAX($A$1:A137)+1,"")</f>
        <v/>
      </c>
      <c r="B138" s="10" t="e">
        <f t="shared" si="5"/>
        <v>#REF!</v>
      </c>
      <c r="C138" s="10" t="e">
        <f t="shared" si="6"/>
        <v>#REF!</v>
      </c>
      <c r="D138" s="10" t="e">
        <f>TRUNC('Список дел'!$B138)</f>
        <v>#REF!</v>
      </c>
      <c r="E138" s="10" t="e">
        <f>'Список дел'!$B138-'Список дел'!$D138</f>
        <v>#REF!</v>
      </c>
      <c r="F138" s="10" t="e">
        <f>'Список дел'!$E138*100</f>
        <v>#REF!</v>
      </c>
      <c r="G138" s="10" t="e">
        <f>'Список дел'!$D138&amp;"."&amp;TEXT('Список дел'!$F138,"#")</f>
        <v>#REF!</v>
      </c>
      <c r="H138" s="12" t="str">
        <f>IF(AND(Таблица24[[#This Row],[Задачи]]="",Таблица24[[#This Row],[Подзадачи]]=""),"",IF(Таблица24[[#This Row],[Задачи]]="","     "&amp;$G138&amp;" "&amp;$I138&amp;$J138,$G138&amp;" "&amp;$I138&amp;$J138))</f>
        <v/>
      </c>
      <c r="I138" s="2"/>
      <c r="J138" s="2"/>
      <c r="K138" s="2"/>
      <c r="L138" s="2"/>
      <c r="M138" s="2"/>
      <c r="N138" s="2"/>
      <c r="O138" s="2"/>
      <c r="P138" s="2"/>
      <c r="Q138" s="17"/>
      <c r="Z138" t="str">
        <f>IF(Таблица24[[#This Row],[Подзадачи]]="",IF($Y138=TRUE,SoundMe2(),""),IF($Y138=TRUE,SoundMe(),""))</f>
        <v/>
      </c>
    </row>
    <row r="139" spans="1:26" x14ac:dyDescent="0.25">
      <c r="A139" s="14" t="str">
        <f>IF('Список дел'!$I139&lt;&gt;"",MAX($A$1:A138)+1,"")</f>
        <v/>
      </c>
      <c r="B139" s="10" t="e">
        <f t="shared" si="5"/>
        <v>#REF!</v>
      </c>
      <c r="C139" s="10" t="e">
        <f t="shared" si="6"/>
        <v>#REF!</v>
      </c>
      <c r="D139" s="10" t="e">
        <f>TRUNC('Список дел'!$B139)</f>
        <v>#REF!</v>
      </c>
      <c r="E139" s="10" t="e">
        <f>'Список дел'!$B139-'Список дел'!$D139</f>
        <v>#REF!</v>
      </c>
      <c r="F139" s="10" t="e">
        <f>'Список дел'!$E139*100</f>
        <v>#REF!</v>
      </c>
      <c r="G139" s="10" t="e">
        <f>'Список дел'!$D139&amp;"."&amp;TEXT('Список дел'!$F139,"#")</f>
        <v>#REF!</v>
      </c>
      <c r="H139" s="12" t="str">
        <f>IF(AND(Таблица24[[#This Row],[Задачи]]="",Таблица24[[#This Row],[Подзадачи]]=""),"",IF(Таблица24[[#This Row],[Задачи]]="","     "&amp;$G139&amp;" "&amp;$I139&amp;$J139,$G139&amp;" "&amp;$I139&amp;$J139))</f>
        <v/>
      </c>
      <c r="I139" s="2"/>
      <c r="J139" s="2"/>
      <c r="K139" s="2"/>
      <c r="L139" s="2"/>
      <c r="M139" s="2"/>
      <c r="N139" s="2"/>
      <c r="O139" s="2"/>
      <c r="P139" s="2"/>
      <c r="Q139" s="17"/>
      <c r="Z139" t="str">
        <f>IF(Таблица24[[#This Row],[Подзадачи]]="",IF($Y139=TRUE,SoundMe2(),""),IF($Y139=TRUE,SoundMe(),""))</f>
        <v/>
      </c>
    </row>
    <row r="140" spans="1:26" x14ac:dyDescent="0.25">
      <c r="A140" s="14" t="str">
        <f>IF('Список дел'!$I140&lt;&gt;"",MAX($A$1:A139)+1,"")</f>
        <v/>
      </c>
      <c r="B140" s="10" t="e">
        <f t="shared" si="5"/>
        <v>#REF!</v>
      </c>
      <c r="C140" s="10" t="e">
        <f t="shared" si="6"/>
        <v>#REF!</v>
      </c>
      <c r="D140" s="10" t="e">
        <f>TRUNC('Список дел'!$B140)</f>
        <v>#REF!</v>
      </c>
      <c r="E140" s="10" t="e">
        <f>'Список дел'!$B140-'Список дел'!$D140</f>
        <v>#REF!</v>
      </c>
      <c r="F140" s="10" t="e">
        <f>'Список дел'!$E140*100</f>
        <v>#REF!</v>
      </c>
      <c r="G140" s="10" t="e">
        <f>'Список дел'!$D140&amp;"."&amp;TEXT('Список дел'!$F140,"#")</f>
        <v>#REF!</v>
      </c>
      <c r="H140" s="12" t="str">
        <f>IF(AND(Таблица24[[#This Row],[Задачи]]="",Таблица24[[#This Row],[Подзадачи]]=""),"",IF(Таблица24[[#This Row],[Задачи]]="","     "&amp;$G140&amp;" "&amp;$I140&amp;$J140,$G140&amp;" "&amp;$I140&amp;$J140))</f>
        <v/>
      </c>
      <c r="I140" s="2"/>
      <c r="J140" s="2"/>
      <c r="K140" s="2"/>
      <c r="L140" s="2"/>
      <c r="M140" s="2"/>
      <c r="N140" s="2"/>
      <c r="O140" s="2"/>
      <c r="P140" s="2"/>
      <c r="Q140" s="17"/>
      <c r="Z140" t="str">
        <f>IF(Таблица24[[#This Row],[Подзадачи]]="",IF($Y140=TRUE,SoundMe2(),""),IF($Y140=TRUE,SoundMe(),""))</f>
        <v/>
      </c>
    </row>
    <row r="141" spans="1:26" x14ac:dyDescent="0.25">
      <c r="A141" s="14" t="str">
        <f>IF('Список дел'!$I141&lt;&gt;"",MAX($A$1:A140)+1,"")</f>
        <v/>
      </c>
      <c r="B141" s="10" t="e">
        <f t="shared" si="5"/>
        <v>#REF!</v>
      </c>
      <c r="C141" s="10" t="e">
        <f t="shared" si="6"/>
        <v>#REF!</v>
      </c>
      <c r="D141" s="10" t="e">
        <f>TRUNC('Список дел'!$B141)</f>
        <v>#REF!</v>
      </c>
      <c r="E141" s="10" t="e">
        <f>'Список дел'!$B141-'Список дел'!$D141</f>
        <v>#REF!</v>
      </c>
      <c r="F141" s="10" t="e">
        <f>'Список дел'!$E141*100</f>
        <v>#REF!</v>
      </c>
      <c r="G141" s="10" t="e">
        <f>'Список дел'!$D141&amp;"."&amp;TEXT('Список дел'!$F141,"#")</f>
        <v>#REF!</v>
      </c>
      <c r="H141" s="12" t="str">
        <f>IF(AND(Таблица24[[#This Row],[Задачи]]="",Таблица24[[#This Row],[Подзадачи]]=""),"",IF(Таблица24[[#This Row],[Задачи]]="","     "&amp;$G141&amp;" "&amp;$I141&amp;$J141,$G141&amp;" "&amp;$I141&amp;$J141))</f>
        <v/>
      </c>
      <c r="I141" s="2"/>
      <c r="J141" s="2"/>
      <c r="K141" s="2"/>
      <c r="L141" s="2"/>
      <c r="M141" s="2"/>
      <c r="N141" s="2"/>
      <c r="O141" s="2"/>
      <c r="P141" s="2"/>
      <c r="Q141" s="17"/>
      <c r="Z141" t="str">
        <f>IF(Таблица24[[#This Row],[Подзадачи]]="",IF($Y141=TRUE,SoundMe2(),""),IF($Y141=TRUE,SoundMe(),""))</f>
        <v/>
      </c>
    </row>
    <row r="142" spans="1:26" x14ac:dyDescent="0.25">
      <c r="A142" s="14" t="str">
        <f>IF('Список дел'!$I142&lt;&gt;"",MAX($A$1:A141)+1,"")</f>
        <v/>
      </c>
      <c r="B142" s="10" t="e">
        <f t="shared" si="5"/>
        <v>#REF!</v>
      </c>
      <c r="C142" s="10" t="e">
        <f t="shared" si="6"/>
        <v>#REF!</v>
      </c>
      <c r="D142" s="10" t="e">
        <f>TRUNC('Список дел'!$B142)</f>
        <v>#REF!</v>
      </c>
      <c r="E142" s="10" t="e">
        <f>'Список дел'!$B142-'Список дел'!$D142</f>
        <v>#REF!</v>
      </c>
      <c r="F142" s="10" t="e">
        <f>'Список дел'!$E142*100</f>
        <v>#REF!</v>
      </c>
      <c r="G142" s="10" t="e">
        <f>'Список дел'!$D142&amp;"."&amp;TEXT('Список дел'!$F142,"#")</f>
        <v>#REF!</v>
      </c>
      <c r="H142" s="12" t="str">
        <f>IF(AND(Таблица24[[#This Row],[Задачи]]="",Таблица24[[#This Row],[Подзадачи]]=""),"",IF(Таблица24[[#This Row],[Задачи]]="","     "&amp;$G142&amp;" "&amp;$I142&amp;$J142,$G142&amp;" "&amp;$I142&amp;$J142))</f>
        <v/>
      </c>
      <c r="I142" s="2"/>
      <c r="J142" s="2"/>
      <c r="K142" s="2"/>
      <c r="L142" s="2"/>
      <c r="M142" s="2"/>
      <c r="N142" s="2"/>
      <c r="O142" s="2"/>
      <c r="P142" s="2"/>
      <c r="Q142" s="17"/>
      <c r="Z142" t="str">
        <f>IF(Таблица24[[#This Row],[Подзадачи]]="",IF($Y142=TRUE,SoundMe2(),""),IF($Y142=TRUE,SoundMe(),""))</f>
        <v/>
      </c>
    </row>
    <row r="143" spans="1:26" x14ac:dyDescent="0.25">
      <c r="A143" s="14" t="str">
        <f>IF('Список дел'!$I143&lt;&gt;"",MAX($A$1:A142)+1,"")</f>
        <v/>
      </c>
      <c r="B143" s="10" t="e">
        <f t="shared" si="5"/>
        <v>#REF!</v>
      </c>
      <c r="C143" s="10" t="e">
        <f t="shared" si="6"/>
        <v>#REF!</v>
      </c>
      <c r="D143" s="10" t="e">
        <f>TRUNC('Список дел'!$B143)</f>
        <v>#REF!</v>
      </c>
      <c r="E143" s="10" t="e">
        <f>'Список дел'!$B143-'Список дел'!$D143</f>
        <v>#REF!</v>
      </c>
      <c r="F143" s="10" t="e">
        <f>'Список дел'!$E143*100</f>
        <v>#REF!</v>
      </c>
      <c r="G143" s="10" t="e">
        <f>'Список дел'!$D143&amp;"."&amp;TEXT('Список дел'!$F143,"#")</f>
        <v>#REF!</v>
      </c>
      <c r="H143" s="12" t="str">
        <f>IF(AND(Таблица24[[#This Row],[Задачи]]="",Таблица24[[#This Row],[Подзадачи]]=""),"",IF(Таблица24[[#This Row],[Задачи]]="","     "&amp;$G143&amp;" "&amp;$I143&amp;$J143,$G143&amp;" "&amp;$I143&amp;$J143))</f>
        <v/>
      </c>
      <c r="I143" s="2"/>
      <c r="J143" s="2"/>
      <c r="K143" s="2"/>
      <c r="L143" s="2"/>
      <c r="M143" s="2"/>
      <c r="N143" s="2"/>
      <c r="O143" s="2"/>
      <c r="P143" s="2"/>
      <c r="Q143" s="17"/>
      <c r="Z143" t="str">
        <f>IF(Таблица24[[#This Row],[Подзадачи]]="",IF($Y143=TRUE,SoundMe2(),""),IF($Y143=TRUE,SoundMe(),""))</f>
        <v/>
      </c>
    </row>
    <row r="144" spans="1:26" x14ac:dyDescent="0.25">
      <c r="A144" s="14" t="str">
        <f>IF('Список дел'!$I144&lt;&gt;"",MAX($A$1:A143)+1,"")</f>
        <v/>
      </c>
      <c r="B144" s="10" t="e">
        <f t="shared" si="5"/>
        <v>#REF!</v>
      </c>
      <c r="C144" s="10" t="e">
        <f t="shared" si="6"/>
        <v>#REF!</v>
      </c>
      <c r="D144" s="10" t="e">
        <f>TRUNC('Список дел'!$B144)</f>
        <v>#REF!</v>
      </c>
      <c r="E144" s="10" t="e">
        <f>'Список дел'!$B144-'Список дел'!$D144</f>
        <v>#REF!</v>
      </c>
      <c r="F144" s="10" t="e">
        <f>'Список дел'!$E144*100</f>
        <v>#REF!</v>
      </c>
      <c r="G144" s="10" t="e">
        <f>'Список дел'!$D144&amp;"."&amp;TEXT('Список дел'!$F144,"#")</f>
        <v>#REF!</v>
      </c>
      <c r="H144" s="12" t="str">
        <f>IF(AND(Таблица24[[#This Row],[Задачи]]="",Таблица24[[#This Row],[Подзадачи]]=""),"",IF(Таблица24[[#This Row],[Задачи]]="","     "&amp;$G144&amp;" "&amp;$I144&amp;$J144,$G144&amp;" "&amp;$I144&amp;$J144))</f>
        <v/>
      </c>
      <c r="I144" s="2"/>
      <c r="J144" s="2"/>
      <c r="K144" s="2"/>
      <c r="L144" s="2"/>
      <c r="M144" s="2"/>
      <c r="N144" s="2"/>
      <c r="O144" s="2"/>
      <c r="P144" s="2"/>
      <c r="Q144" s="17"/>
      <c r="Z144" t="str">
        <f>IF(Таблица24[[#This Row],[Подзадачи]]="",IF($Y144=TRUE,SoundMe2(),""),IF($Y144=TRUE,SoundMe(),""))</f>
        <v/>
      </c>
    </row>
    <row r="145" spans="1:26" x14ac:dyDescent="0.25">
      <c r="A145" s="14" t="str">
        <f>IF('Список дел'!$I145&lt;&gt;"",MAX($A$1:A144)+1,"")</f>
        <v/>
      </c>
      <c r="B145" s="10" t="e">
        <f t="shared" si="5"/>
        <v>#REF!</v>
      </c>
      <c r="C145" s="10" t="e">
        <f t="shared" si="6"/>
        <v>#REF!</v>
      </c>
      <c r="D145" s="10" t="e">
        <f>TRUNC('Список дел'!$B145)</f>
        <v>#REF!</v>
      </c>
      <c r="E145" s="10" t="e">
        <f>'Список дел'!$B145-'Список дел'!$D145</f>
        <v>#REF!</v>
      </c>
      <c r="F145" s="10" t="e">
        <f>'Список дел'!$E145*100</f>
        <v>#REF!</v>
      </c>
      <c r="G145" s="10" t="e">
        <f>'Список дел'!$D145&amp;"."&amp;TEXT('Список дел'!$F145,"#")</f>
        <v>#REF!</v>
      </c>
      <c r="H145" s="12" t="str">
        <f>IF(AND(Таблица24[[#This Row],[Задачи]]="",Таблица24[[#This Row],[Подзадачи]]=""),"",IF(Таблица24[[#This Row],[Задачи]]="","     "&amp;$G145&amp;" "&amp;$I145&amp;$J145,$G145&amp;" "&amp;$I145&amp;$J145))</f>
        <v/>
      </c>
      <c r="I145" s="2"/>
      <c r="J145" s="2"/>
      <c r="K145" s="2"/>
      <c r="L145" s="2"/>
      <c r="M145" s="2"/>
      <c r="N145" s="2"/>
      <c r="O145" s="2"/>
      <c r="P145" s="2"/>
      <c r="Q145" s="17"/>
      <c r="Z145" t="str">
        <f>IF(Таблица24[[#This Row],[Подзадачи]]="",IF($Y145=TRUE,SoundMe2(),""),IF($Y145=TRUE,SoundMe(),""))</f>
        <v/>
      </c>
    </row>
    <row r="146" spans="1:26" x14ac:dyDescent="0.25">
      <c r="A146" s="14" t="str">
        <f>IF('Список дел'!$I146&lt;&gt;"",MAX($A$1:A145)+1,"")</f>
        <v/>
      </c>
      <c r="B146" s="10" t="e">
        <f t="shared" si="5"/>
        <v>#REF!</v>
      </c>
      <c r="C146" s="10" t="e">
        <f t="shared" si="6"/>
        <v>#REF!</v>
      </c>
      <c r="D146" s="10" t="e">
        <f>TRUNC('Список дел'!$B146)</f>
        <v>#REF!</v>
      </c>
      <c r="E146" s="10" t="e">
        <f>'Список дел'!$B146-'Список дел'!$D146</f>
        <v>#REF!</v>
      </c>
      <c r="F146" s="10" t="e">
        <f>'Список дел'!$E146*100</f>
        <v>#REF!</v>
      </c>
      <c r="G146" s="10" t="e">
        <f>'Список дел'!$D146&amp;"."&amp;TEXT('Список дел'!$F146,"#")</f>
        <v>#REF!</v>
      </c>
      <c r="H146" s="12" t="str">
        <f>IF(AND(Таблица24[[#This Row],[Задачи]]="",Таблица24[[#This Row],[Подзадачи]]=""),"",IF(Таблица24[[#This Row],[Задачи]]="","     "&amp;$G146&amp;" "&amp;$I146&amp;$J146,$G146&amp;" "&amp;$I146&amp;$J146))</f>
        <v/>
      </c>
      <c r="I146" s="2"/>
      <c r="J146" s="2"/>
      <c r="K146" s="2"/>
      <c r="L146" s="2"/>
      <c r="M146" s="2"/>
      <c r="N146" s="2"/>
      <c r="O146" s="2"/>
      <c r="P146" s="2"/>
      <c r="Q146" s="17"/>
      <c r="Z146" t="str">
        <f>IF(Таблица24[[#This Row],[Подзадачи]]="",IF($Y146=TRUE,SoundMe2(),""),IF($Y146=TRUE,SoundMe(),""))</f>
        <v/>
      </c>
    </row>
    <row r="147" spans="1:26" x14ac:dyDescent="0.25">
      <c r="A147" s="14" t="str">
        <f>IF('Список дел'!$I147&lt;&gt;"",MAX($A$1:A146)+1,"")</f>
        <v/>
      </c>
      <c r="B147" s="10" t="e">
        <f t="shared" si="5"/>
        <v>#REF!</v>
      </c>
      <c r="C147" s="10" t="e">
        <f t="shared" si="6"/>
        <v>#REF!</v>
      </c>
      <c r="D147" s="10" t="e">
        <f>TRUNC('Список дел'!$B147)</f>
        <v>#REF!</v>
      </c>
      <c r="E147" s="10" t="e">
        <f>'Список дел'!$B147-'Список дел'!$D147</f>
        <v>#REF!</v>
      </c>
      <c r="F147" s="10" t="e">
        <f>'Список дел'!$E147*100</f>
        <v>#REF!</v>
      </c>
      <c r="G147" s="10" t="e">
        <f>'Список дел'!$D147&amp;"."&amp;TEXT('Список дел'!$F147,"#")</f>
        <v>#REF!</v>
      </c>
      <c r="H147" s="12" t="str">
        <f>IF(AND(Таблица24[[#This Row],[Задачи]]="",Таблица24[[#This Row],[Подзадачи]]=""),"",IF(Таблица24[[#This Row],[Задачи]]="","     "&amp;$G147&amp;" "&amp;$I147&amp;$J147,$G147&amp;" "&amp;$I147&amp;$J147))</f>
        <v/>
      </c>
      <c r="I147" s="2"/>
      <c r="J147" s="2"/>
      <c r="K147" s="2"/>
      <c r="L147" s="2"/>
      <c r="M147" s="2"/>
      <c r="N147" s="2"/>
      <c r="O147" s="2"/>
      <c r="P147" s="2"/>
      <c r="Q147" s="17"/>
      <c r="Z147" t="str">
        <f>IF(Таблица24[[#This Row],[Подзадачи]]="",IF($Y147=TRUE,SoundMe2(),""),IF($Y147=TRUE,SoundMe(),""))</f>
        <v/>
      </c>
    </row>
    <row r="148" spans="1:26" x14ac:dyDescent="0.25">
      <c r="A148" s="14" t="str">
        <f>IF('Список дел'!$I148&lt;&gt;"",MAX($A$1:A147)+1,"")</f>
        <v/>
      </c>
      <c r="B148" s="10" t="e">
        <f t="shared" si="5"/>
        <v>#REF!</v>
      </c>
      <c r="C148" s="10" t="e">
        <f t="shared" si="6"/>
        <v>#REF!</v>
      </c>
      <c r="D148" s="10" t="e">
        <f>TRUNC('Список дел'!$B148)</f>
        <v>#REF!</v>
      </c>
      <c r="E148" s="10" t="e">
        <f>'Список дел'!$B148-'Список дел'!$D148</f>
        <v>#REF!</v>
      </c>
      <c r="F148" s="10" t="e">
        <f>'Список дел'!$E148*100</f>
        <v>#REF!</v>
      </c>
      <c r="G148" s="10" t="e">
        <f>'Список дел'!$D148&amp;"."&amp;TEXT('Список дел'!$F148,"#")</f>
        <v>#REF!</v>
      </c>
      <c r="H148" s="12" t="str">
        <f>IF(AND(Таблица24[[#This Row],[Задачи]]="",Таблица24[[#This Row],[Подзадачи]]=""),"",IF(Таблица24[[#This Row],[Задачи]]="","     "&amp;$G148&amp;" "&amp;$I148&amp;$J148,$G148&amp;" "&amp;$I148&amp;$J148))</f>
        <v/>
      </c>
      <c r="I148" s="2"/>
      <c r="J148" s="2"/>
      <c r="K148" s="2"/>
      <c r="L148" s="2"/>
      <c r="M148" s="2"/>
      <c r="N148" s="2"/>
      <c r="O148" s="2"/>
      <c r="P148" s="2"/>
      <c r="Q148" s="17"/>
      <c r="Z148" t="str">
        <f>IF(Таблица24[[#This Row],[Подзадачи]]="",IF($Y148=TRUE,SoundMe2(),""),IF($Y148=TRUE,SoundMe(),""))</f>
        <v/>
      </c>
    </row>
    <row r="149" spans="1:26" x14ac:dyDescent="0.25">
      <c r="A149" s="14" t="str">
        <f>IF('Список дел'!$I149&lt;&gt;"",MAX($A$1:A148)+1,"")</f>
        <v/>
      </c>
      <c r="B149" s="10" t="e">
        <f t="shared" si="5"/>
        <v>#REF!</v>
      </c>
      <c r="C149" s="10" t="e">
        <f t="shared" si="6"/>
        <v>#REF!</v>
      </c>
      <c r="D149" s="10" t="e">
        <f>TRUNC('Список дел'!$B149)</f>
        <v>#REF!</v>
      </c>
      <c r="E149" s="10" t="e">
        <f>'Список дел'!$B149-'Список дел'!$D149</f>
        <v>#REF!</v>
      </c>
      <c r="F149" s="10" t="e">
        <f>'Список дел'!$E149*100</f>
        <v>#REF!</v>
      </c>
      <c r="G149" s="10" t="e">
        <f>'Список дел'!$D149&amp;"."&amp;TEXT('Список дел'!$F149,"#")</f>
        <v>#REF!</v>
      </c>
      <c r="H149" s="12" t="str">
        <f>IF(AND(Таблица24[[#This Row],[Задачи]]="",Таблица24[[#This Row],[Подзадачи]]=""),"",IF(Таблица24[[#This Row],[Задачи]]="","     "&amp;$G149&amp;" "&amp;$I149&amp;$J149,$G149&amp;" "&amp;$I149&amp;$J149))</f>
        <v/>
      </c>
      <c r="I149" s="2"/>
      <c r="J149" s="2"/>
      <c r="K149" s="2"/>
      <c r="L149" s="2"/>
      <c r="M149" s="2"/>
      <c r="N149" s="2"/>
      <c r="O149" s="2"/>
      <c r="P149" s="2"/>
      <c r="Q149" s="17"/>
      <c r="Z149" t="str">
        <f>IF(Таблица24[[#This Row],[Подзадачи]]="",IF($Y149=TRUE,SoundMe2(),""),IF($Y149=TRUE,SoundMe(),""))</f>
        <v/>
      </c>
    </row>
    <row r="150" spans="1:26" x14ac:dyDescent="0.25">
      <c r="A150" s="14" t="str">
        <f>IF('Список дел'!$I150&lt;&gt;"",MAX($A$1:A149)+1,"")</f>
        <v/>
      </c>
      <c r="B150" s="10" t="e">
        <f t="shared" si="5"/>
        <v>#REF!</v>
      </c>
      <c r="C150" s="10" t="e">
        <f t="shared" si="6"/>
        <v>#REF!</v>
      </c>
      <c r="D150" s="10" t="e">
        <f>TRUNC('Список дел'!$B150)</f>
        <v>#REF!</v>
      </c>
      <c r="E150" s="10" t="e">
        <f>'Список дел'!$B150-'Список дел'!$D150</f>
        <v>#REF!</v>
      </c>
      <c r="F150" s="10" t="e">
        <f>'Список дел'!$E150*100</f>
        <v>#REF!</v>
      </c>
      <c r="G150" s="10" t="e">
        <f>'Список дел'!$D150&amp;"."&amp;TEXT('Список дел'!$F150,"#")</f>
        <v>#REF!</v>
      </c>
      <c r="H150" s="12" t="str">
        <f>IF(AND(Таблица24[[#This Row],[Задачи]]="",Таблица24[[#This Row],[Подзадачи]]=""),"",IF(Таблица24[[#This Row],[Задачи]]="","     "&amp;$G150&amp;" "&amp;$I150&amp;$J150,$G150&amp;" "&amp;$I150&amp;$J150))</f>
        <v/>
      </c>
      <c r="I150" s="2"/>
      <c r="J150" s="2"/>
      <c r="K150" s="2"/>
      <c r="L150" s="2"/>
      <c r="M150" s="2"/>
      <c r="N150" s="2"/>
      <c r="O150" s="2"/>
      <c r="P150" s="2"/>
      <c r="Q150" s="17"/>
      <c r="Z150" t="str">
        <f>IF(Таблица24[[#This Row],[Подзадачи]]="",IF($Y150=TRUE,SoundMe2(),""),IF($Y150=TRUE,SoundMe(),""))</f>
        <v/>
      </c>
    </row>
    <row r="151" spans="1:26" x14ac:dyDescent="0.25">
      <c r="A151" s="14" t="str">
        <f>IF('Список дел'!$I151&lt;&gt;"",MAX($A$1:A150)+1,"")</f>
        <v/>
      </c>
      <c r="B151" s="10" t="e">
        <f t="shared" si="5"/>
        <v>#REF!</v>
      </c>
      <c r="C151" s="10" t="e">
        <f t="shared" si="6"/>
        <v>#REF!</v>
      </c>
      <c r="D151" s="10" t="e">
        <f>TRUNC('Список дел'!$B151)</f>
        <v>#REF!</v>
      </c>
      <c r="E151" s="10" t="e">
        <f>'Список дел'!$B151-'Список дел'!$D151</f>
        <v>#REF!</v>
      </c>
      <c r="F151" s="10" t="e">
        <f>'Список дел'!$E151*100</f>
        <v>#REF!</v>
      </c>
      <c r="G151" s="10" t="e">
        <f>'Список дел'!$D151&amp;"."&amp;TEXT('Список дел'!$F151,"#")</f>
        <v>#REF!</v>
      </c>
      <c r="H151" s="12" t="str">
        <f>IF(AND(Таблица24[[#This Row],[Задачи]]="",Таблица24[[#This Row],[Подзадачи]]=""),"",IF(Таблица24[[#This Row],[Задачи]]="","     "&amp;$G151&amp;" "&amp;$I151&amp;$J151,$G151&amp;" "&amp;$I151&amp;$J151))</f>
        <v/>
      </c>
      <c r="I151" s="2"/>
      <c r="J151" s="2"/>
      <c r="K151" s="2"/>
      <c r="L151" s="2"/>
      <c r="M151" s="2"/>
      <c r="N151" s="2"/>
      <c r="O151" s="2"/>
      <c r="P151" s="2"/>
      <c r="Q151" s="17"/>
      <c r="Z151" t="str">
        <f>IF(Таблица24[[#This Row],[Подзадачи]]="",IF($Y151=TRUE,SoundMe2(),""),IF($Y151=TRUE,SoundMe(),""))</f>
        <v/>
      </c>
    </row>
    <row r="152" spans="1:26" x14ac:dyDescent="0.25">
      <c r="A152" s="14" t="str">
        <f>IF('Список дел'!$I152&lt;&gt;"",MAX($A$1:A151)+1,"")</f>
        <v/>
      </c>
      <c r="B152" s="10" t="e">
        <f t="shared" si="5"/>
        <v>#REF!</v>
      </c>
      <c r="C152" s="10" t="e">
        <f t="shared" si="6"/>
        <v>#REF!</v>
      </c>
      <c r="D152" s="10" t="e">
        <f>TRUNC('Список дел'!$B152)</f>
        <v>#REF!</v>
      </c>
      <c r="E152" s="10" t="e">
        <f>'Список дел'!$B152-'Список дел'!$D152</f>
        <v>#REF!</v>
      </c>
      <c r="F152" s="10" t="e">
        <f>'Список дел'!$E152*100</f>
        <v>#REF!</v>
      </c>
      <c r="G152" s="10" t="e">
        <f>'Список дел'!$D152&amp;"."&amp;TEXT('Список дел'!$F152,"#")</f>
        <v>#REF!</v>
      </c>
      <c r="H152" s="12" t="str">
        <f>IF(AND(Таблица24[[#This Row],[Задачи]]="",Таблица24[[#This Row],[Подзадачи]]=""),"",IF(Таблица24[[#This Row],[Задачи]]="","     "&amp;$G152&amp;" "&amp;$I152&amp;$J152,$G152&amp;" "&amp;$I152&amp;$J152))</f>
        <v/>
      </c>
      <c r="I152" s="2"/>
      <c r="J152" s="2"/>
      <c r="K152" s="2"/>
      <c r="L152" s="2"/>
      <c r="M152" s="2"/>
      <c r="N152" s="2"/>
      <c r="O152" s="2"/>
      <c r="P152" s="2"/>
      <c r="Q152" s="17"/>
      <c r="Z152" t="str">
        <f>IF(Таблица24[[#This Row],[Подзадачи]]="",IF($Y152=TRUE,SoundMe2(),""),IF($Y152=TRUE,SoundMe(),""))</f>
        <v/>
      </c>
    </row>
    <row r="153" spans="1:26" x14ac:dyDescent="0.25">
      <c r="A153" s="14" t="str">
        <f>IF('Список дел'!$I153&lt;&gt;"",MAX($A$1:A152)+1,"")</f>
        <v/>
      </c>
      <c r="B153" s="10" t="e">
        <f t="shared" si="5"/>
        <v>#REF!</v>
      </c>
      <c r="C153" s="10" t="e">
        <f t="shared" si="6"/>
        <v>#REF!</v>
      </c>
      <c r="D153" s="10" t="e">
        <f>TRUNC('Список дел'!$B153)</f>
        <v>#REF!</v>
      </c>
      <c r="E153" s="10" t="e">
        <f>'Список дел'!$B153-'Список дел'!$D153</f>
        <v>#REF!</v>
      </c>
      <c r="F153" s="10" t="e">
        <f>'Список дел'!$E153*100</f>
        <v>#REF!</v>
      </c>
      <c r="G153" s="10" t="e">
        <f>'Список дел'!$D153&amp;"."&amp;TEXT('Список дел'!$F153,"#")</f>
        <v>#REF!</v>
      </c>
      <c r="H153" s="12" t="str">
        <f>IF(AND(Таблица24[[#This Row],[Задачи]]="",Таблица24[[#This Row],[Подзадачи]]=""),"",IF(Таблица24[[#This Row],[Задачи]]="","     "&amp;$G153&amp;" "&amp;$I153&amp;$J153,$G153&amp;" "&amp;$I153&amp;$J153))</f>
        <v/>
      </c>
      <c r="I153" s="2"/>
      <c r="J153" s="2"/>
      <c r="K153" s="2"/>
      <c r="L153" s="2"/>
      <c r="M153" s="2"/>
      <c r="N153" s="2"/>
      <c r="O153" s="2"/>
      <c r="P153" s="2"/>
      <c r="Q153" s="17"/>
      <c r="Z153" t="str">
        <f>IF(Таблица24[[#This Row],[Подзадачи]]="",IF($Y153=TRUE,SoundMe2(),""),IF($Y153=TRUE,SoundMe(),""))</f>
        <v/>
      </c>
    </row>
    <row r="154" spans="1:26" x14ac:dyDescent="0.25">
      <c r="A154" s="14" t="str">
        <f>IF('Список дел'!$I154&lt;&gt;"",MAX($A$1:A153)+1,"")</f>
        <v/>
      </c>
      <c r="B154" s="10" t="e">
        <f t="shared" si="5"/>
        <v>#REF!</v>
      </c>
      <c r="C154" s="10" t="e">
        <f t="shared" si="6"/>
        <v>#REF!</v>
      </c>
      <c r="D154" s="10" t="e">
        <f>TRUNC('Список дел'!$B154)</f>
        <v>#REF!</v>
      </c>
      <c r="E154" s="10" t="e">
        <f>'Список дел'!$B154-'Список дел'!$D154</f>
        <v>#REF!</v>
      </c>
      <c r="F154" s="10" t="e">
        <f>'Список дел'!$E154*100</f>
        <v>#REF!</v>
      </c>
      <c r="G154" s="10" t="e">
        <f>'Список дел'!$D154&amp;"."&amp;TEXT('Список дел'!$F154,"#")</f>
        <v>#REF!</v>
      </c>
      <c r="H154" s="12" t="str">
        <f>IF(AND(Таблица24[[#This Row],[Задачи]]="",Таблица24[[#This Row],[Подзадачи]]=""),"",IF(Таблица24[[#This Row],[Задачи]]="","     "&amp;$G154&amp;" "&amp;$I154&amp;$J154,$G154&amp;" "&amp;$I154&amp;$J154))</f>
        <v/>
      </c>
      <c r="I154" s="2"/>
      <c r="J154" s="2"/>
      <c r="K154" s="2"/>
      <c r="L154" s="2"/>
      <c r="M154" s="2"/>
      <c r="N154" s="2"/>
      <c r="O154" s="2"/>
      <c r="P154" s="2"/>
      <c r="Q154" s="17"/>
      <c r="Z154" t="str">
        <f>IF(Таблица24[[#This Row],[Подзадачи]]="",IF($Y154=TRUE,SoundMe2(),""),IF($Y154=TRUE,SoundMe(),""))</f>
        <v/>
      </c>
    </row>
    <row r="155" spans="1:26" x14ac:dyDescent="0.25">
      <c r="A155" s="14" t="str">
        <f>IF('Список дел'!$I155&lt;&gt;"",MAX($A$1:A154)+1,"")</f>
        <v/>
      </c>
      <c r="B155" s="10" t="e">
        <f t="shared" si="5"/>
        <v>#REF!</v>
      </c>
      <c r="C155" s="10" t="e">
        <f t="shared" si="6"/>
        <v>#REF!</v>
      </c>
      <c r="D155" s="10" t="e">
        <f>TRUNC('Список дел'!$B155)</f>
        <v>#REF!</v>
      </c>
      <c r="E155" s="10" t="e">
        <f>'Список дел'!$B155-'Список дел'!$D155</f>
        <v>#REF!</v>
      </c>
      <c r="F155" s="10" t="e">
        <f>'Список дел'!$E155*100</f>
        <v>#REF!</v>
      </c>
      <c r="G155" s="10" t="e">
        <f>'Список дел'!$D155&amp;"."&amp;TEXT('Список дел'!$F155,"#")</f>
        <v>#REF!</v>
      </c>
      <c r="H155" s="12" t="str">
        <f>IF(AND(Таблица24[[#This Row],[Задачи]]="",Таблица24[[#This Row],[Подзадачи]]=""),"",IF(Таблица24[[#This Row],[Задачи]]="","     "&amp;$G155&amp;" "&amp;$I155&amp;$J155,$G155&amp;" "&amp;$I155&amp;$J155))</f>
        <v/>
      </c>
      <c r="I155" s="2"/>
      <c r="J155" s="2"/>
      <c r="K155" s="2"/>
      <c r="L155" s="2"/>
      <c r="M155" s="2"/>
      <c r="N155" s="2"/>
      <c r="O155" s="2"/>
      <c r="P155" s="2"/>
      <c r="Q155" s="17"/>
      <c r="Z155" t="str">
        <f>IF(Таблица24[[#This Row],[Подзадачи]]="",IF($Y155=TRUE,SoundMe2(),""),IF($Y155=TRUE,SoundMe(),""))</f>
        <v/>
      </c>
    </row>
    <row r="156" spans="1:26" x14ac:dyDescent="0.25">
      <c r="A156" s="14" t="str">
        <f>IF('Список дел'!$I156&lt;&gt;"",MAX($A$1:A155)+1,"")</f>
        <v/>
      </c>
      <c r="B156" s="10" t="e">
        <f t="shared" si="5"/>
        <v>#REF!</v>
      </c>
      <c r="C156" s="10" t="e">
        <f t="shared" si="6"/>
        <v>#REF!</v>
      </c>
      <c r="D156" s="10" t="e">
        <f>TRUNC('Список дел'!$B156)</f>
        <v>#REF!</v>
      </c>
      <c r="E156" s="10" t="e">
        <f>'Список дел'!$B156-'Список дел'!$D156</f>
        <v>#REF!</v>
      </c>
      <c r="F156" s="10" t="e">
        <f>'Список дел'!$E156*100</f>
        <v>#REF!</v>
      </c>
      <c r="G156" s="10" t="e">
        <f>'Список дел'!$D156&amp;"."&amp;TEXT('Список дел'!$F156,"#")</f>
        <v>#REF!</v>
      </c>
      <c r="H156" s="12" t="str">
        <f>IF(AND(Таблица24[[#This Row],[Задачи]]="",Таблица24[[#This Row],[Подзадачи]]=""),"",IF(Таблица24[[#This Row],[Задачи]]="","     "&amp;$G156&amp;" "&amp;$I156&amp;$J156,$G156&amp;" "&amp;$I156&amp;$J156))</f>
        <v/>
      </c>
      <c r="I156" s="2"/>
      <c r="J156" s="2"/>
      <c r="K156" s="2"/>
      <c r="L156" s="2"/>
      <c r="M156" s="2"/>
      <c r="N156" s="2"/>
      <c r="O156" s="2"/>
      <c r="P156" s="2"/>
      <c r="Q156" s="17"/>
      <c r="Z156" t="str">
        <f>IF(Таблица24[[#This Row],[Подзадачи]]="",IF($Y156=TRUE,SoundMe2(),""),IF($Y156=TRUE,SoundMe(),""))</f>
        <v/>
      </c>
    </row>
    <row r="157" spans="1:26" x14ac:dyDescent="0.25">
      <c r="A157" s="14" t="str">
        <f>IF('Список дел'!$I157&lt;&gt;"",MAX($A$1:A156)+1,"")</f>
        <v/>
      </c>
      <c r="B157" s="10" t="e">
        <f t="shared" si="5"/>
        <v>#REF!</v>
      </c>
      <c r="C157" s="10" t="e">
        <f t="shared" si="6"/>
        <v>#REF!</v>
      </c>
      <c r="D157" s="10" t="e">
        <f>TRUNC('Список дел'!$B157)</f>
        <v>#REF!</v>
      </c>
      <c r="E157" s="10" t="e">
        <f>'Список дел'!$B157-'Список дел'!$D157</f>
        <v>#REF!</v>
      </c>
      <c r="F157" s="10" t="e">
        <f>'Список дел'!$E157*100</f>
        <v>#REF!</v>
      </c>
      <c r="G157" s="10" t="e">
        <f>'Список дел'!$D157&amp;"."&amp;TEXT('Список дел'!$F157,"#")</f>
        <v>#REF!</v>
      </c>
      <c r="H157" s="12" t="str">
        <f>IF(AND(Таблица24[[#This Row],[Задачи]]="",Таблица24[[#This Row],[Подзадачи]]=""),"",IF(Таблица24[[#This Row],[Задачи]]="","     "&amp;$G157&amp;" "&amp;$I157&amp;$J157,$G157&amp;" "&amp;$I157&amp;$J157))</f>
        <v/>
      </c>
      <c r="I157" s="2"/>
      <c r="J157" s="2"/>
      <c r="K157" s="2"/>
      <c r="L157" s="2"/>
      <c r="M157" s="2"/>
      <c r="N157" s="2"/>
      <c r="O157" s="2"/>
      <c r="P157" s="2"/>
      <c r="Q157" s="17"/>
      <c r="Z157" t="str">
        <f>IF(Таблица24[[#This Row],[Подзадачи]]="",IF($Y157=TRUE,SoundMe2(),""),IF($Y157=TRUE,SoundMe(),""))</f>
        <v/>
      </c>
    </row>
    <row r="158" spans="1:26" x14ac:dyDescent="0.25">
      <c r="A158" s="14" t="str">
        <f>IF('Список дел'!$I158&lt;&gt;"",MAX($A$1:A157)+1,"")</f>
        <v/>
      </c>
      <c r="B158" s="10" t="e">
        <f t="shared" si="5"/>
        <v>#REF!</v>
      </c>
      <c r="C158" s="10" t="e">
        <f t="shared" si="6"/>
        <v>#REF!</v>
      </c>
      <c r="D158" s="10" t="e">
        <f>TRUNC('Список дел'!$B158)</f>
        <v>#REF!</v>
      </c>
      <c r="E158" s="10" t="e">
        <f>'Список дел'!$B158-'Список дел'!$D158</f>
        <v>#REF!</v>
      </c>
      <c r="F158" s="10" t="e">
        <f>'Список дел'!$E158*100</f>
        <v>#REF!</v>
      </c>
      <c r="G158" s="10" t="e">
        <f>'Список дел'!$D158&amp;"."&amp;TEXT('Список дел'!$F158,"#")</f>
        <v>#REF!</v>
      </c>
      <c r="H158" s="12" t="str">
        <f>IF(AND(Таблица24[[#This Row],[Задачи]]="",Таблица24[[#This Row],[Подзадачи]]=""),"",IF(Таблица24[[#This Row],[Задачи]]="","     "&amp;$G158&amp;" "&amp;$I158&amp;$J158,$G158&amp;" "&amp;$I158&amp;$J158))</f>
        <v/>
      </c>
      <c r="I158" s="2"/>
      <c r="J158" s="2"/>
      <c r="K158" s="2"/>
      <c r="L158" s="2"/>
      <c r="M158" s="2"/>
      <c r="N158" s="2"/>
      <c r="O158" s="2"/>
      <c r="P158" s="2"/>
      <c r="Q158" s="17"/>
      <c r="Z158" t="str">
        <f>IF(Таблица24[[#This Row],[Подзадачи]]="",IF($Y158=TRUE,SoundMe2(),""),IF($Y158=TRUE,SoundMe(),""))</f>
        <v/>
      </c>
    </row>
    <row r="159" spans="1:26" x14ac:dyDescent="0.25">
      <c r="A159" s="14" t="str">
        <f>IF('Список дел'!$I159&lt;&gt;"",MAX($A$1:A158)+1,"")</f>
        <v/>
      </c>
      <c r="B159" s="10" t="e">
        <f t="shared" si="5"/>
        <v>#REF!</v>
      </c>
      <c r="C159" s="10" t="e">
        <f t="shared" si="6"/>
        <v>#REF!</v>
      </c>
      <c r="D159" s="10" t="e">
        <f>TRUNC('Список дел'!$B159)</f>
        <v>#REF!</v>
      </c>
      <c r="E159" s="10" t="e">
        <f>'Список дел'!$B159-'Список дел'!$D159</f>
        <v>#REF!</v>
      </c>
      <c r="F159" s="10" t="e">
        <f>'Список дел'!$E159*100</f>
        <v>#REF!</v>
      </c>
      <c r="G159" s="10" t="e">
        <f>'Список дел'!$D159&amp;"."&amp;TEXT('Список дел'!$F159,"#")</f>
        <v>#REF!</v>
      </c>
      <c r="H159" s="12" t="str">
        <f>IF(AND(Таблица24[[#This Row],[Задачи]]="",Таблица24[[#This Row],[Подзадачи]]=""),"",IF(Таблица24[[#This Row],[Задачи]]="","     "&amp;$G159&amp;" "&amp;$I159&amp;$J159,$G159&amp;" "&amp;$I159&amp;$J159))</f>
        <v/>
      </c>
      <c r="I159" s="2"/>
      <c r="J159" s="2"/>
      <c r="K159" s="2"/>
      <c r="L159" s="2"/>
      <c r="M159" s="2"/>
      <c r="N159" s="2"/>
      <c r="O159" s="2"/>
      <c r="P159" s="2"/>
      <c r="Q159" s="17"/>
      <c r="Z159" t="str">
        <f>IF(Таблица24[[#This Row],[Подзадачи]]="",IF($Y159=TRUE,SoundMe2(),""),IF($Y159=TRUE,SoundMe(),""))</f>
        <v/>
      </c>
    </row>
    <row r="160" spans="1:26" x14ac:dyDescent="0.25">
      <c r="A160" s="14" t="str">
        <f>IF('Список дел'!$I160&lt;&gt;"",MAX($A$1:A159)+1,"")</f>
        <v/>
      </c>
      <c r="B160" s="10" t="e">
        <f t="shared" si="5"/>
        <v>#REF!</v>
      </c>
      <c r="C160" s="10" t="e">
        <f t="shared" si="6"/>
        <v>#REF!</v>
      </c>
      <c r="D160" s="10" t="e">
        <f>TRUNC('Список дел'!$B160)</f>
        <v>#REF!</v>
      </c>
      <c r="E160" s="10" t="e">
        <f>'Список дел'!$B160-'Список дел'!$D160</f>
        <v>#REF!</v>
      </c>
      <c r="F160" s="10" t="e">
        <f>'Список дел'!$E160*100</f>
        <v>#REF!</v>
      </c>
      <c r="G160" s="10" t="e">
        <f>'Список дел'!$D160&amp;"."&amp;TEXT('Список дел'!$F160,"#")</f>
        <v>#REF!</v>
      </c>
      <c r="H160" s="12" t="str">
        <f>IF(AND(Таблица24[[#This Row],[Задачи]]="",Таблица24[[#This Row],[Подзадачи]]=""),"",IF(Таблица24[[#This Row],[Задачи]]="","     "&amp;$G160&amp;" "&amp;$I160&amp;$J160,$G160&amp;" "&amp;$I160&amp;$J160))</f>
        <v/>
      </c>
      <c r="I160" s="2"/>
      <c r="J160" s="2"/>
      <c r="K160" s="2"/>
      <c r="L160" s="2"/>
      <c r="M160" s="2"/>
      <c r="N160" s="2"/>
      <c r="O160" s="2"/>
      <c r="P160" s="2"/>
      <c r="Q160" s="17"/>
      <c r="Z160" t="str">
        <f>IF(Таблица24[[#This Row],[Подзадачи]]="",IF($Y160=TRUE,SoundMe2(),""),IF($Y160=TRUE,SoundMe(),""))</f>
        <v/>
      </c>
    </row>
    <row r="161" spans="1:26" x14ac:dyDescent="0.25">
      <c r="A161" s="14" t="str">
        <f>IF('Список дел'!$I161&lt;&gt;"",MAX($A$1:A160)+1,"")</f>
        <v/>
      </c>
      <c r="B161" s="10" t="e">
        <f t="shared" si="5"/>
        <v>#REF!</v>
      </c>
      <c r="C161" s="10" t="e">
        <f t="shared" si="6"/>
        <v>#REF!</v>
      </c>
      <c r="D161" s="10" t="e">
        <f>TRUNC('Список дел'!$B161)</f>
        <v>#REF!</v>
      </c>
      <c r="E161" s="10" t="e">
        <f>'Список дел'!$B161-'Список дел'!$D161</f>
        <v>#REF!</v>
      </c>
      <c r="F161" s="10" t="e">
        <f>'Список дел'!$E161*100</f>
        <v>#REF!</v>
      </c>
      <c r="G161" s="10" t="e">
        <f>'Список дел'!$D161&amp;"."&amp;TEXT('Список дел'!$F161,"#")</f>
        <v>#REF!</v>
      </c>
      <c r="H161" s="12" t="str">
        <f>IF(AND(Таблица24[[#This Row],[Задачи]]="",Таблица24[[#This Row],[Подзадачи]]=""),"",IF(Таблица24[[#This Row],[Задачи]]="","     "&amp;$G161&amp;" "&amp;$I161&amp;$J161,$G161&amp;" "&amp;$I161&amp;$J161))</f>
        <v/>
      </c>
      <c r="I161" s="2"/>
      <c r="J161" s="2"/>
      <c r="K161" s="2"/>
      <c r="L161" s="2"/>
      <c r="M161" s="2"/>
      <c r="N161" s="2"/>
      <c r="O161" s="2"/>
      <c r="P161" s="2"/>
      <c r="Q161" s="17"/>
      <c r="Z161" t="str">
        <f>IF(Таблица24[[#This Row],[Подзадачи]]="",IF($Y161=TRUE,SoundMe2(),""),IF($Y161=TRUE,SoundMe(),""))</f>
        <v/>
      </c>
    </row>
    <row r="162" spans="1:26" x14ac:dyDescent="0.25">
      <c r="A162" s="14" t="str">
        <f>IF('Список дел'!$I162&lt;&gt;"",MAX($A$1:A161)+1,"")</f>
        <v/>
      </c>
      <c r="B162" s="10" t="e">
        <f t="shared" si="5"/>
        <v>#REF!</v>
      </c>
      <c r="C162" s="10" t="e">
        <f t="shared" si="6"/>
        <v>#REF!</v>
      </c>
      <c r="D162" s="10" t="e">
        <f>TRUNC('Список дел'!$B162)</f>
        <v>#REF!</v>
      </c>
      <c r="E162" s="10" t="e">
        <f>'Список дел'!$B162-'Список дел'!$D162</f>
        <v>#REF!</v>
      </c>
      <c r="F162" s="10" t="e">
        <f>'Список дел'!$E162*100</f>
        <v>#REF!</v>
      </c>
      <c r="G162" s="10" t="e">
        <f>'Список дел'!$D162&amp;"."&amp;TEXT('Список дел'!$F162,"#")</f>
        <v>#REF!</v>
      </c>
      <c r="H162" s="12" t="str">
        <f>IF(AND(Таблица24[[#This Row],[Задачи]]="",Таблица24[[#This Row],[Подзадачи]]=""),"",IF(Таблица24[[#This Row],[Задачи]]="","     "&amp;$G162&amp;" "&amp;$I162&amp;$J162,$G162&amp;" "&amp;$I162&amp;$J162))</f>
        <v/>
      </c>
      <c r="I162" s="2"/>
      <c r="J162" s="2"/>
      <c r="K162" s="2"/>
      <c r="L162" s="2"/>
      <c r="M162" s="2"/>
      <c r="N162" s="2"/>
      <c r="O162" s="2"/>
      <c r="P162" s="2"/>
      <c r="Q162" s="17"/>
      <c r="Z162" t="str">
        <f>IF(Таблица24[[#This Row],[Подзадачи]]="",IF($Y162=TRUE,SoundMe2(),""),IF($Y162=TRUE,SoundMe(),""))</f>
        <v/>
      </c>
    </row>
    <row r="163" spans="1:26" x14ac:dyDescent="0.25">
      <c r="A163" s="14" t="str">
        <f>IF('Список дел'!$I163&lt;&gt;"",MAX($A$1:A162)+1,"")</f>
        <v/>
      </c>
      <c r="B163" s="10" t="e">
        <f t="shared" si="5"/>
        <v>#REF!</v>
      </c>
      <c r="C163" s="10" t="e">
        <f t="shared" si="6"/>
        <v>#REF!</v>
      </c>
      <c r="D163" s="10" t="e">
        <f>TRUNC('Список дел'!$B163)</f>
        <v>#REF!</v>
      </c>
      <c r="E163" s="10" t="e">
        <f>'Список дел'!$B163-'Список дел'!$D163</f>
        <v>#REF!</v>
      </c>
      <c r="F163" s="10" t="e">
        <f>'Список дел'!$E163*100</f>
        <v>#REF!</v>
      </c>
      <c r="G163" s="10" t="e">
        <f>'Список дел'!$D163&amp;"."&amp;TEXT('Список дел'!$F163,"#")</f>
        <v>#REF!</v>
      </c>
      <c r="H163" s="12" t="str">
        <f>IF(AND(Таблица24[[#This Row],[Задачи]]="",Таблица24[[#This Row],[Подзадачи]]=""),"",IF(Таблица24[[#This Row],[Задачи]]="","     "&amp;$G163&amp;" "&amp;$I163&amp;$J163,$G163&amp;" "&amp;$I163&amp;$J163))</f>
        <v/>
      </c>
      <c r="I163" s="2"/>
      <c r="J163" s="2"/>
      <c r="K163" s="2"/>
      <c r="L163" s="2"/>
      <c r="M163" s="2"/>
      <c r="N163" s="2"/>
      <c r="O163" s="2"/>
      <c r="P163" s="2"/>
      <c r="Q163" s="17"/>
      <c r="Z163" t="str">
        <f>IF(Таблица24[[#This Row],[Подзадачи]]="",IF($Y163=TRUE,SoundMe2(),""),IF($Y163=TRUE,SoundMe(),""))</f>
        <v/>
      </c>
    </row>
    <row r="164" spans="1:26" x14ac:dyDescent="0.25">
      <c r="A164" s="14" t="str">
        <f>IF('Список дел'!$I164&lt;&gt;"",MAX($A$1:A163)+1,"")</f>
        <v/>
      </c>
      <c r="B164" s="10" t="e">
        <f t="shared" si="5"/>
        <v>#REF!</v>
      </c>
      <c r="C164" s="10" t="e">
        <f t="shared" si="6"/>
        <v>#REF!</v>
      </c>
      <c r="D164" s="10" t="e">
        <f>TRUNC('Список дел'!$B164)</f>
        <v>#REF!</v>
      </c>
      <c r="E164" s="10" t="e">
        <f>'Список дел'!$B164-'Список дел'!$D164</f>
        <v>#REF!</v>
      </c>
      <c r="F164" s="10" t="e">
        <f>'Список дел'!$E164*100</f>
        <v>#REF!</v>
      </c>
      <c r="G164" s="10" t="e">
        <f>'Список дел'!$D164&amp;"."&amp;TEXT('Список дел'!$F164,"#")</f>
        <v>#REF!</v>
      </c>
      <c r="H164" s="12" t="str">
        <f>IF(AND(Таблица24[[#This Row],[Задачи]]="",Таблица24[[#This Row],[Подзадачи]]=""),"",IF(Таблица24[[#This Row],[Задачи]]="","     "&amp;$G164&amp;" "&amp;$I164&amp;$J164,$G164&amp;" "&amp;$I164&amp;$J164))</f>
        <v/>
      </c>
      <c r="I164" s="2"/>
      <c r="J164" s="2"/>
      <c r="K164" s="2"/>
      <c r="L164" s="2"/>
      <c r="M164" s="2"/>
      <c r="N164" s="2"/>
      <c r="O164" s="2"/>
      <c r="P164" s="2"/>
      <c r="Q164" s="17"/>
      <c r="Z164" t="str">
        <f>IF(Таблица24[[#This Row],[Подзадачи]]="",IF($Y164=TRUE,SoundMe2(),""),IF($Y164=TRUE,SoundMe(),""))</f>
        <v/>
      </c>
    </row>
    <row r="165" spans="1:26" x14ac:dyDescent="0.25">
      <c r="A165" s="14" t="str">
        <f>IF('Список дел'!$I165&lt;&gt;"",MAX($A$1:A164)+1,"")</f>
        <v/>
      </c>
      <c r="B165" s="10" t="e">
        <f t="shared" si="5"/>
        <v>#REF!</v>
      </c>
      <c r="C165" s="10" t="e">
        <f t="shared" si="6"/>
        <v>#REF!</v>
      </c>
      <c r="D165" s="10" t="e">
        <f>TRUNC('Список дел'!$B165)</f>
        <v>#REF!</v>
      </c>
      <c r="E165" s="10" t="e">
        <f>'Список дел'!$B165-'Список дел'!$D165</f>
        <v>#REF!</v>
      </c>
      <c r="F165" s="10" t="e">
        <f>'Список дел'!$E165*100</f>
        <v>#REF!</v>
      </c>
      <c r="G165" s="10" t="e">
        <f>'Список дел'!$D165&amp;"."&amp;TEXT('Список дел'!$F165,"#")</f>
        <v>#REF!</v>
      </c>
      <c r="H165" s="12" t="str">
        <f>IF(AND(Таблица24[[#This Row],[Задачи]]="",Таблица24[[#This Row],[Подзадачи]]=""),"",IF(Таблица24[[#This Row],[Задачи]]="","     "&amp;$G165&amp;" "&amp;$I165&amp;$J165,$G165&amp;" "&amp;$I165&amp;$J165))</f>
        <v/>
      </c>
      <c r="I165" s="2"/>
      <c r="J165" s="2"/>
      <c r="K165" s="2"/>
      <c r="L165" s="2"/>
      <c r="M165" s="2"/>
      <c r="N165" s="2"/>
      <c r="O165" s="2"/>
      <c r="P165" s="2"/>
      <c r="Q165" s="17"/>
      <c r="Z165" t="str">
        <f>IF(Таблица24[[#This Row],[Подзадачи]]="",IF($Y165=TRUE,SoundMe2(),""),IF($Y165=TRUE,SoundMe(),""))</f>
        <v/>
      </c>
    </row>
    <row r="166" spans="1:26" x14ac:dyDescent="0.25">
      <c r="A166" s="14" t="str">
        <f>IF('Список дел'!$I166&lt;&gt;"",MAX($A$1:A165)+1,"")</f>
        <v/>
      </c>
      <c r="B166" s="10" t="e">
        <f t="shared" si="5"/>
        <v>#REF!</v>
      </c>
      <c r="C166" s="10" t="e">
        <f t="shared" si="6"/>
        <v>#REF!</v>
      </c>
      <c r="D166" s="10" t="e">
        <f>TRUNC('Список дел'!$B166)</f>
        <v>#REF!</v>
      </c>
      <c r="E166" s="10" t="e">
        <f>'Список дел'!$B166-'Список дел'!$D166</f>
        <v>#REF!</v>
      </c>
      <c r="F166" s="10" t="e">
        <f>'Список дел'!$E166*100</f>
        <v>#REF!</v>
      </c>
      <c r="G166" s="10" t="e">
        <f>'Список дел'!$D166&amp;"."&amp;TEXT('Список дел'!$F166,"#")</f>
        <v>#REF!</v>
      </c>
      <c r="H166" s="12" t="str">
        <f>IF(AND(Таблица24[[#This Row],[Задачи]]="",Таблица24[[#This Row],[Подзадачи]]=""),"",IF(Таблица24[[#This Row],[Задачи]]="","     "&amp;$G166&amp;" "&amp;$I166&amp;$J166,$G166&amp;" "&amp;$I166&amp;$J166))</f>
        <v/>
      </c>
      <c r="I166" s="2"/>
      <c r="J166" s="2"/>
      <c r="K166" s="2"/>
      <c r="L166" s="2"/>
      <c r="M166" s="2"/>
      <c r="N166" s="2"/>
      <c r="O166" s="2"/>
      <c r="P166" s="2"/>
      <c r="Q166" s="17"/>
      <c r="Z166" t="str">
        <f>IF(Таблица24[[#This Row],[Подзадачи]]="",IF($Y166=TRUE,SoundMe2(),""),IF($Y166=TRUE,SoundMe(),""))</f>
        <v/>
      </c>
    </row>
    <row r="167" spans="1:26" x14ac:dyDescent="0.25">
      <c r="A167" s="14" t="str">
        <f>IF('Список дел'!$I167&lt;&gt;"",MAX($A$1:A166)+1,"")</f>
        <v/>
      </c>
      <c r="B167" s="10" t="e">
        <f t="shared" si="5"/>
        <v>#REF!</v>
      </c>
      <c r="C167" s="10" t="e">
        <f t="shared" si="6"/>
        <v>#REF!</v>
      </c>
      <c r="D167" s="10" t="e">
        <f>TRUNC('Список дел'!$B167)</f>
        <v>#REF!</v>
      </c>
      <c r="E167" s="10" t="e">
        <f>'Список дел'!$B167-'Список дел'!$D167</f>
        <v>#REF!</v>
      </c>
      <c r="F167" s="10" t="e">
        <f>'Список дел'!$E167*100</f>
        <v>#REF!</v>
      </c>
      <c r="G167" s="10" t="e">
        <f>'Список дел'!$D167&amp;"."&amp;TEXT('Список дел'!$F167,"#")</f>
        <v>#REF!</v>
      </c>
      <c r="H167" s="12" t="str">
        <f>IF(AND(Таблица24[[#This Row],[Задачи]]="",Таблица24[[#This Row],[Подзадачи]]=""),"",IF(Таблица24[[#This Row],[Задачи]]="","     "&amp;$G167&amp;" "&amp;$I167&amp;$J167,$G167&amp;" "&amp;$I167&amp;$J167))</f>
        <v/>
      </c>
      <c r="I167" s="2"/>
      <c r="J167" s="2"/>
      <c r="K167" s="2"/>
      <c r="L167" s="2"/>
      <c r="M167" s="2"/>
      <c r="N167" s="2"/>
      <c r="O167" s="2"/>
      <c r="P167" s="2"/>
      <c r="Q167" s="17"/>
      <c r="Z167" t="str">
        <f>IF(Таблица24[[#This Row],[Подзадачи]]="",IF($Y167=TRUE,SoundMe2(),""),IF($Y167=TRUE,SoundMe(),""))</f>
        <v/>
      </c>
    </row>
    <row r="168" spans="1:26" x14ac:dyDescent="0.25">
      <c r="A168" s="14" t="str">
        <f>IF('Список дел'!$I168&lt;&gt;"",MAX($A$1:A167)+1,"")</f>
        <v/>
      </c>
      <c r="B168" s="10" t="e">
        <f t="shared" si="5"/>
        <v>#REF!</v>
      </c>
      <c r="C168" s="10" t="e">
        <f t="shared" si="6"/>
        <v>#REF!</v>
      </c>
      <c r="D168" s="10" t="e">
        <f>TRUNC('Список дел'!$B168)</f>
        <v>#REF!</v>
      </c>
      <c r="E168" s="10" t="e">
        <f>'Список дел'!$B168-'Список дел'!$D168</f>
        <v>#REF!</v>
      </c>
      <c r="F168" s="10" t="e">
        <f>'Список дел'!$E168*100</f>
        <v>#REF!</v>
      </c>
      <c r="G168" s="10" t="e">
        <f>'Список дел'!$D168&amp;"."&amp;TEXT('Список дел'!$F168,"#")</f>
        <v>#REF!</v>
      </c>
      <c r="H168" s="12" t="str">
        <f>IF(AND(Таблица24[[#This Row],[Задачи]]="",Таблица24[[#This Row],[Подзадачи]]=""),"",IF(Таблица24[[#This Row],[Задачи]]="","     "&amp;$G168&amp;" "&amp;$I168&amp;$J168,$G168&amp;" "&amp;$I168&amp;$J168))</f>
        <v/>
      </c>
      <c r="I168" s="2"/>
      <c r="J168" s="2"/>
      <c r="K168" s="2"/>
      <c r="L168" s="2"/>
      <c r="M168" s="2"/>
      <c r="N168" s="2"/>
      <c r="O168" s="2"/>
      <c r="P168" s="2"/>
      <c r="Q168" s="17"/>
      <c r="Z168" t="str">
        <f>IF(Таблица24[[#This Row],[Подзадачи]]="",IF($Y168=TRUE,SoundMe2(),""),IF($Y168=TRUE,SoundMe(),""))</f>
        <v/>
      </c>
    </row>
    <row r="169" spans="1:26" x14ac:dyDescent="0.25">
      <c r="A169" s="14" t="str">
        <f>IF('Список дел'!$I169&lt;&gt;"",MAX($A$1:A168)+1,"")</f>
        <v/>
      </c>
      <c r="B169" s="10" t="e">
        <f t="shared" si="5"/>
        <v>#REF!</v>
      </c>
      <c r="C169" s="10" t="e">
        <f t="shared" si="6"/>
        <v>#REF!</v>
      </c>
      <c r="D169" s="10" t="e">
        <f>TRUNC('Список дел'!$B169)</f>
        <v>#REF!</v>
      </c>
      <c r="E169" s="10" t="e">
        <f>'Список дел'!$B169-'Список дел'!$D169</f>
        <v>#REF!</v>
      </c>
      <c r="F169" s="10" t="e">
        <f>'Список дел'!$E169*100</f>
        <v>#REF!</v>
      </c>
      <c r="G169" s="10" t="e">
        <f>'Список дел'!$D169&amp;"."&amp;TEXT('Список дел'!$F169,"#")</f>
        <v>#REF!</v>
      </c>
      <c r="H169" s="12" t="str">
        <f>IF(AND(Таблица24[[#This Row],[Задачи]]="",Таблица24[[#This Row],[Подзадачи]]=""),"",IF(Таблица24[[#This Row],[Задачи]]="","     "&amp;$G169&amp;" "&amp;$I169&amp;$J169,$G169&amp;" "&amp;$I169&amp;$J169))</f>
        <v/>
      </c>
      <c r="I169" s="2"/>
      <c r="J169" s="2"/>
      <c r="K169" s="2"/>
      <c r="L169" s="2"/>
      <c r="M169" s="2"/>
      <c r="N169" s="2"/>
      <c r="O169" s="2"/>
      <c r="P169" s="2"/>
      <c r="Q169" s="17"/>
      <c r="Z169" t="str">
        <f>IF(Таблица24[[#This Row],[Подзадачи]]="",IF($Y169=TRUE,SoundMe2(),""),IF($Y169=TRUE,SoundMe(),""))</f>
        <v/>
      </c>
    </row>
    <row r="170" spans="1:26" x14ac:dyDescent="0.25">
      <c r="A170" s="14" t="str">
        <f>IF('Список дел'!$I170&lt;&gt;"",MAX($A$1:A169)+1,"")</f>
        <v/>
      </c>
      <c r="B170" s="10" t="e">
        <f t="shared" si="5"/>
        <v>#REF!</v>
      </c>
      <c r="C170" s="10" t="e">
        <f t="shared" si="6"/>
        <v>#REF!</v>
      </c>
      <c r="D170" s="10" t="e">
        <f>TRUNC('Список дел'!$B170)</f>
        <v>#REF!</v>
      </c>
      <c r="E170" s="10" t="e">
        <f>'Список дел'!$B170-'Список дел'!$D170</f>
        <v>#REF!</v>
      </c>
      <c r="F170" s="10" t="e">
        <f>'Список дел'!$E170*100</f>
        <v>#REF!</v>
      </c>
      <c r="G170" s="10" t="e">
        <f>'Список дел'!$D170&amp;"."&amp;TEXT('Список дел'!$F170,"#")</f>
        <v>#REF!</v>
      </c>
      <c r="H170" s="12" t="str">
        <f>IF(AND(Таблица24[[#This Row],[Задачи]]="",Таблица24[[#This Row],[Подзадачи]]=""),"",IF(Таблица24[[#This Row],[Задачи]]="","     "&amp;$G170&amp;" "&amp;$I170&amp;$J170,$G170&amp;" "&amp;$I170&amp;$J170))</f>
        <v/>
      </c>
      <c r="I170" s="2"/>
      <c r="J170" s="2"/>
      <c r="K170" s="2"/>
      <c r="L170" s="2"/>
      <c r="M170" s="2"/>
      <c r="N170" s="2"/>
      <c r="O170" s="2"/>
      <c r="P170" s="2"/>
      <c r="Q170" s="17"/>
      <c r="Z170" t="str">
        <f>IF(Таблица24[[#This Row],[Подзадачи]]="",IF($Y170=TRUE,SoundMe2(),""),IF($Y170=TRUE,SoundMe(),""))</f>
        <v/>
      </c>
    </row>
    <row r="171" spans="1:26" x14ac:dyDescent="0.25">
      <c r="A171" s="14" t="str">
        <f>IF('Список дел'!$I171&lt;&gt;"",MAX($A$1:A170)+1,"")</f>
        <v/>
      </c>
      <c r="B171" s="10" t="e">
        <f t="shared" si="5"/>
        <v>#REF!</v>
      </c>
      <c r="C171" s="10" t="e">
        <f t="shared" si="6"/>
        <v>#REF!</v>
      </c>
      <c r="D171" s="10" t="e">
        <f>TRUNC('Список дел'!$B171)</f>
        <v>#REF!</v>
      </c>
      <c r="E171" s="10" t="e">
        <f>'Список дел'!$B171-'Список дел'!$D171</f>
        <v>#REF!</v>
      </c>
      <c r="F171" s="10" t="e">
        <f>'Список дел'!$E171*100</f>
        <v>#REF!</v>
      </c>
      <c r="G171" s="10" t="e">
        <f>'Список дел'!$D171&amp;"."&amp;TEXT('Список дел'!$F171,"#")</f>
        <v>#REF!</v>
      </c>
      <c r="H171" s="12" t="str">
        <f>IF(AND(Таблица24[[#This Row],[Задачи]]="",Таблица24[[#This Row],[Подзадачи]]=""),"",IF(Таблица24[[#This Row],[Задачи]]="","     "&amp;$G171&amp;" "&amp;$I171&amp;$J171,$G171&amp;" "&amp;$I171&amp;$J171))</f>
        <v/>
      </c>
      <c r="I171" s="2"/>
      <c r="J171" s="2"/>
      <c r="K171" s="2"/>
      <c r="L171" s="2"/>
      <c r="M171" s="2"/>
      <c r="N171" s="2"/>
      <c r="O171" s="2"/>
      <c r="P171" s="2"/>
      <c r="Q171" s="17"/>
      <c r="Z171" t="str">
        <f>IF(Таблица24[[#This Row],[Подзадачи]]="",IF($Y171=TRUE,SoundMe2(),""),IF($Y171=TRUE,SoundMe(),""))</f>
        <v/>
      </c>
    </row>
    <row r="172" spans="1:26" x14ac:dyDescent="0.25">
      <c r="A172" s="14" t="str">
        <f>IF('Список дел'!$I172&lt;&gt;"",MAX($A$1:A171)+1,"")</f>
        <v/>
      </c>
      <c r="B172" s="10" t="e">
        <f t="shared" si="5"/>
        <v>#REF!</v>
      </c>
      <c r="C172" s="10" t="e">
        <f t="shared" si="6"/>
        <v>#REF!</v>
      </c>
      <c r="D172" s="10" t="e">
        <f>TRUNC('Список дел'!$B172)</f>
        <v>#REF!</v>
      </c>
      <c r="E172" s="10" t="e">
        <f>'Список дел'!$B172-'Список дел'!$D172</f>
        <v>#REF!</v>
      </c>
      <c r="F172" s="10" t="e">
        <f>'Список дел'!$E172*100</f>
        <v>#REF!</v>
      </c>
      <c r="G172" s="10" t="e">
        <f>'Список дел'!$D172&amp;"."&amp;TEXT('Список дел'!$F172,"#")</f>
        <v>#REF!</v>
      </c>
      <c r="H172" s="12" t="str">
        <f>IF(AND(Таблица24[[#This Row],[Задачи]]="",Таблица24[[#This Row],[Подзадачи]]=""),"",IF(Таблица24[[#This Row],[Задачи]]="","     "&amp;$G172&amp;" "&amp;$I172&amp;$J172,$G172&amp;" "&amp;$I172&amp;$J172))</f>
        <v/>
      </c>
      <c r="I172" s="2"/>
      <c r="J172" s="2"/>
      <c r="K172" s="2"/>
      <c r="L172" s="2"/>
      <c r="M172" s="2"/>
      <c r="N172" s="2"/>
      <c r="O172" s="2"/>
      <c r="P172" s="2"/>
      <c r="Q172" s="17"/>
      <c r="Z172" t="str">
        <f>IF(Таблица24[[#This Row],[Подзадачи]]="",IF($Y172=TRUE,SoundMe2(),""),IF($Y172=TRUE,SoundMe(),""))</f>
        <v/>
      </c>
    </row>
    <row r="173" spans="1:26" x14ac:dyDescent="0.25">
      <c r="A173" s="14" t="str">
        <f>IF('Список дел'!$I173&lt;&gt;"",MAX($A$1:A172)+1,"")</f>
        <v/>
      </c>
      <c r="B173" s="10" t="e">
        <f t="shared" si="5"/>
        <v>#REF!</v>
      </c>
      <c r="C173" s="10" t="e">
        <f t="shared" si="6"/>
        <v>#REF!</v>
      </c>
      <c r="D173" s="10" t="e">
        <f>TRUNC('Список дел'!$B173)</f>
        <v>#REF!</v>
      </c>
      <c r="E173" s="10" t="e">
        <f>'Список дел'!$B173-'Список дел'!$D173</f>
        <v>#REF!</v>
      </c>
      <c r="F173" s="10" t="e">
        <f>'Список дел'!$E173*100</f>
        <v>#REF!</v>
      </c>
      <c r="G173" s="10" t="e">
        <f>'Список дел'!$D173&amp;"."&amp;TEXT('Список дел'!$F173,"#")</f>
        <v>#REF!</v>
      </c>
      <c r="H173" s="12" t="str">
        <f>IF(AND(Таблица24[[#This Row],[Задачи]]="",Таблица24[[#This Row],[Подзадачи]]=""),"",IF(Таблица24[[#This Row],[Задачи]]="","     "&amp;$G173&amp;" "&amp;$I173&amp;$J173,$G173&amp;" "&amp;$I173&amp;$J173))</f>
        <v/>
      </c>
      <c r="I173" s="2"/>
      <c r="J173" s="2"/>
      <c r="K173" s="2"/>
      <c r="L173" s="2"/>
      <c r="M173" s="2"/>
      <c r="N173" s="2"/>
      <c r="O173" s="2"/>
      <c r="P173" s="2"/>
      <c r="Q173" s="17"/>
      <c r="Z173" t="str">
        <f>IF(Таблица24[[#This Row],[Подзадачи]]="",IF($Y173=TRUE,SoundMe2(),""),IF($Y173=TRUE,SoundMe(),""))</f>
        <v/>
      </c>
    </row>
    <row r="174" spans="1:26" x14ac:dyDescent="0.25">
      <c r="A174" s="14" t="str">
        <f>IF('Список дел'!$I174&lt;&gt;"",MAX($A$1:A173)+1,"")</f>
        <v/>
      </c>
      <c r="B174" s="10" t="e">
        <f t="shared" si="5"/>
        <v>#REF!</v>
      </c>
      <c r="C174" s="10" t="e">
        <f t="shared" si="6"/>
        <v>#REF!</v>
      </c>
      <c r="D174" s="10" t="e">
        <f>TRUNC('Список дел'!$B174)</f>
        <v>#REF!</v>
      </c>
      <c r="E174" s="10" t="e">
        <f>'Список дел'!$B174-'Список дел'!$D174</f>
        <v>#REF!</v>
      </c>
      <c r="F174" s="10" t="e">
        <f>'Список дел'!$E174*100</f>
        <v>#REF!</v>
      </c>
      <c r="G174" s="10" t="e">
        <f>'Список дел'!$D174&amp;"."&amp;TEXT('Список дел'!$F174,"#")</f>
        <v>#REF!</v>
      </c>
      <c r="H174" s="12" t="str">
        <f>IF(AND(Таблица24[[#This Row],[Задачи]]="",Таблица24[[#This Row],[Подзадачи]]=""),"",IF(Таблица24[[#This Row],[Задачи]]="","     "&amp;$G174&amp;" "&amp;$I174&amp;$J174,$G174&amp;" "&amp;$I174&amp;$J174))</f>
        <v/>
      </c>
      <c r="I174" s="2"/>
      <c r="J174" s="2"/>
      <c r="K174" s="2"/>
      <c r="L174" s="2"/>
      <c r="M174" s="2"/>
      <c r="N174" s="2"/>
      <c r="O174" s="2"/>
      <c r="P174" s="2"/>
      <c r="Q174" s="17"/>
      <c r="Z174" t="str">
        <f>IF(Таблица24[[#This Row],[Подзадачи]]="",IF($Y174=TRUE,SoundMe2(),""),IF($Y174=TRUE,SoundMe(),""))</f>
        <v/>
      </c>
    </row>
    <row r="175" spans="1:26" x14ac:dyDescent="0.25">
      <c r="A175" s="14" t="str">
        <f>IF('Список дел'!$I175&lt;&gt;"",MAX($A$1:A174)+1,"")</f>
        <v/>
      </c>
      <c r="B175" s="10" t="e">
        <f t="shared" si="5"/>
        <v>#REF!</v>
      </c>
      <c r="C175" s="10" t="e">
        <f t="shared" si="6"/>
        <v>#REF!</v>
      </c>
      <c r="D175" s="10" t="e">
        <f>TRUNC('Список дел'!$B175)</f>
        <v>#REF!</v>
      </c>
      <c r="E175" s="10" t="e">
        <f>'Список дел'!$B175-'Список дел'!$D175</f>
        <v>#REF!</v>
      </c>
      <c r="F175" s="10" t="e">
        <f>'Список дел'!$E175*100</f>
        <v>#REF!</v>
      </c>
      <c r="G175" s="10" t="e">
        <f>'Список дел'!$D175&amp;"."&amp;TEXT('Список дел'!$F175,"#")</f>
        <v>#REF!</v>
      </c>
      <c r="H175" s="12" t="str">
        <f>IF(AND(Таблица24[[#This Row],[Задачи]]="",Таблица24[[#This Row],[Подзадачи]]=""),"",IF(Таблица24[[#This Row],[Задачи]]="","     "&amp;$G175&amp;" "&amp;$I175&amp;$J175,$G175&amp;" "&amp;$I175&amp;$J175))</f>
        <v/>
      </c>
      <c r="I175" s="2"/>
      <c r="J175" s="2"/>
      <c r="K175" s="2"/>
      <c r="L175" s="2"/>
      <c r="M175" s="2"/>
      <c r="N175" s="2"/>
      <c r="O175" s="2"/>
      <c r="P175" s="2"/>
      <c r="Q175" s="17"/>
      <c r="Z175" t="str">
        <f>IF(Таблица24[[#This Row],[Подзадачи]]="",IF($Y175=TRUE,SoundMe2(),""),IF($Y175=TRUE,SoundMe(),""))</f>
        <v/>
      </c>
    </row>
    <row r="176" spans="1:26" x14ac:dyDescent="0.25">
      <c r="A176" s="14" t="str">
        <f>IF('Список дел'!$I176&lt;&gt;"",MAX($A$1:A175)+1,"")</f>
        <v/>
      </c>
      <c r="B176" s="10" t="e">
        <f t="shared" si="5"/>
        <v>#REF!</v>
      </c>
      <c r="C176" s="10" t="e">
        <f t="shared" si="6"/>
        <v>#REF!</v>
      </c>
      <c r="D176" s="10" t="e">
        <f>TRUNC('Список дел'!$B176)</f>
        <v>#REF!</v>
      </c>
      <c r="E176" s="10" t="e">
        <f>'Список дел'!$B176-'Список дел'!$D176</f>
        <v>#REF!</v>
      </c>
      <c r="F176" s="10" t="e">
        <f>'Список дел'!$E176*100</f>
        <v>#REF!</v>
      </c>
      <c r="G176" s="10" t="e">
        <f>'Список дел'!$D176&amp;"."&amp;TEXT('Список дел'!$F176,"#")</f>
        <v>#REF!</v>
      </c>
      <c r="H176" s="12" t="str">
        <f>IF(AND(Таблица24[[#This Row],[Задачи]]="",Таблица24[[#This Row],[Подзадачи]]=""),"",IF(Таблица24[[#This Row],[Задачи]]="","     "&amp;$G176&amp;" "&amp;$I176&amp;$J176,$G176&amp;" "&amp;$I176&amp;$J176))</f>
        <v/>
      </c>
      <c r="I176" s="2"/>
      <c r="J176" s="2"/>
      <c r="K176" s="2"/>
      <c r="L176" s="2"/>
      <c r="M176" s="2"/>
      <c r="N176" s="2"/>
      <c r="O176" s="2"/>
      <c r="P176" s="2"/>
      <c r="Q176" s="17"/>
      <c r="Z176" t="str">
        <f>IF(Таблица24[[#This Row],[Подзадачи]]="",IF($Y176=TRUE,SoundMe2(),""),IF($Y176=TRUE,SoundMe(),""))</f>
        <v/>
      </c>
    </row>
    <row r="177" spans="1:26" x14ac:dyDescent="0.25">
      <c r="A177" s="14" t="str">
        <f>IF('Список дел'!$I177&lt;&gt;"",MAX($A$1:A176)+1,"")</f>
        <v/>
      </c>
      <c r="B177" s="10" t="e">
        <f t="shared" si="5"/>
        <v>#REF!</v>
      </c>
      <c r="C177" s="10" t="e">
        <f t="shared" si="6"/>
        <v>#REF!</v>
      </c>
      <c r="D177" s="10" t="e">
        <f>TRUNC('Список дел'!$B177)</f>
        <v>#REF!</v>
      </c>
      <c r="E177" s="10" t="e">
        <f>'Список дел'!$B177-'Список дел'!$D177</f>
        <v>#REF!</v>
      </c>
      <c r="F177" s="10" t="e">
        <f>'Список дел'!$E177*100</f>
        <v>#REF!</v>
      </c>
      <c r="G177" s="10" t="e">
        <f>'Список дел'!$D177&amp;"."&amp;TEXT('Список дел'!$F177,"#")</f>
        <v>#REF!</v>
      </c>
      <c r="H177" s="12" t="str">
        <f>IF(AND(Таблица24[[#This Row],[Задачи]]="",Таблица24[[#This Row],[Подзадачи]]=""),"",IF(Таблица24[[#This Row],[Задачи]]="","     "&amp;$G177&amp;" "&amp;$I177&amp;$J177,$G177&amp;" "&amp;$I177&amp;$J177))</f>
        <v/>
      </c>
      <c r="I177" s="2"/>
      <c r="J177" s="2"/>
      <c r="K177" s="2"/>
      <c r="L177" s="2"/>
      <c r="M177" s="2"/>
      <c r="N177" s="2"/>
      <c r="O177" s="2"/>
      <c r="P177" s="2"/>
      <c r="Q177" s="17"/>
      <c r="Z177" t="str">
        <f>IF(Таблица24[[#This Row],[Подзадачи]]="",IF($Y177=TRUE,SoundMe2(),""),IF($Y177=TRUE,SoundMe(),""))</f>
        <v/>
      </c>
    </row>
    <row r="178" spans="1:26" x14ac:dyDescent="0.25">
      <c r="A178" s="14" t="str">
        <f>IF('Список дел'!$I178&lt;&gt;"",MAX($A$1:A177)+1,"")</f>
        <v/>
      </c>
      <c r="B178" s="10" t="e">
        <f t="shared" si="5"/>
        <v>#REF!</v>
      </c>
      <c r="C178" s="10" t="e">
        <f t="shared" si="6"/>
        <v>#REF!</v>
      </c>
      <c r="D178" s="10" t="e">
        <f>TRUNC('Список дел'!$B178)</f>
        <v>#REF!</v>
      </c>
      <c r="E178" s="10" t="e">
        <f>'Список дел'!$B178-'Список дел'!$D178</f>
        <v>#REF!</v>
      </c>
      <c r="F178" s="10" t="e">
        <f>'Список дел'!$E178*100</f>
        <v>#REF!</v>
      </c>
      <c r="G178" s="10" t="e">
        <f>'Список дел'!$D178&amp;"."&amp;TEXT('Список дел'!$F178,"#")</f>
        <v>#REF!</v>
      </c>
      <c r="H178" s="12" t="str">
        <f>IF(AND(Таблица24[[#This Row],[Задачи]]="",Таблица24[[#This Row],[Подзадачи]]=""),"",IF(Таблица24[[#This Row],[Задачи]]="","     "&amp;$G178&amp;" "&amp;$I178&amp;$J178,$G178&amp;" "&amp;$I178&amp;$J178))</f>
        <v/>
      </c>
      <c r="I178" s="2"/>
      <c r="J178" s="2"/>
      <c r="K178" s="2"/>
      <c r="L178" s="2"/>
      <c r="M178" s="2"/>
      <c r="N178" s="2"/>
      <c r="O178" s="2"/>
      <c r="P178" s="2"/>
      <c r="Q178" s="17"/>
      <c r="Z178" t="str">
        <f>IF(Таблица24[[#This Row],[Подзадачи]]="",IF($Y178=TRUE,SoundMe2(),""),IF($Y178=TRUE,SoundMe(),""))</f>
        <v/>
      </c>
    </row>
    <row r="179" spans="1:26" x14ac:dyDescent="0.25">
      <c r="A179" s="14" t="str">
        <f>IF('Список дел'!$I179&lt;&gt;"",MAX($A$1:A178)+1,"")</f>
        <v/>
      </c>
      <c r="B179" s="10" t="e">
        <f t="shared" si="5"/>
        <v>#REF!</v>
      </c>
      <c r="C179" s="10" t="e">
        <f t="shared" si="6"/>
        <v>#REF!</v>
      </c>
      <c r="D179" s="10" t="e">
        <f>TRUNC('Список дел'!$B179)</f>
        <v>#REF!</v>
      </c>
      <c r="E179" s="10" t="e">
        <f>'Список дел'!$B179-'Список дел'!$D179</f>
        <v>#REF!</v>
      </c>
      <c r="F179" s="10" t="e">
        <f>'Список дел'!$E179*100</f>
        <v>#REF!</v>
      </c>
      <c r="G179" s="10" t="e">
        <f>'Список дел'!$D179&amp;"."&amp;TEXT('Список дел'!$F179,"#")</f>
        <v>#REF!</v>
      </c>
      <c r="H179" s="12" t="str">
        <f>IF(AND(Таблица24[[#This Row],[Задачи]]="",Таблица24[[#This Row],[Подзадачи]]=""),"",IF(Таблица24[[#This Row],[Задачи]]="","     "&amp;$G179&amp;" "&amp;$I179&amp;$J179,$G179&amp;" "&amp;$I179&amp;$J179))</f>
        <v/>
      </c>
      <c r="I179" s="2"/>
      <c r="J179" s="2"/>
      <c r="K179" s="2"/>
      <c r="L179" s="2"/>
      <c r="M179" s="2"/>
      <c r="N179" s="2"/>
      <c r="O179" s="2"/>
      <c r="P179" s="2"/>
      <c r="Q179" s="17"/>
      <c r="Z179" t="str">
        <f>IF(Таблица24[[#This Row],[Подзадачи]]="",IF($Y179=TRUE,SoundMe2(),""),IF($Y179=TRUE,SoundMe(),""))</f>
        <v/>
      </c>
    </row>
    <row r="180" spans="1:26" x14ac:dyDescent="0.25">
      <c r="A180" s="14" t="str">
        <f>IF('Список дел'!$I180&lt;&gt;"",MAX($A$1:A179)+1,"")</f>
        <v/>
      </c>
      <c r="B180" s="10" t="e">
        <f t="shared" si="5"/>
        <v>#REF!</v>
      </c>
      <c r="C180" s="10" t="e">
        <f t="shared" si="6"/>
        <v>#REF!</v>
      </c>
      <c r="D180" s="10" t="e">
        <f>TRUNC('Список дел'!$B180)</f>
        <v>#REF!</v>
      </c>
      <c r="E180" s="10" t="e">
        <f>'Список дел'!$B180-'Список дел'!$D180</f>
        <v>#REF!</v>
      </c>
      <c r="F180" s="10" t="e">
        <f>'Список дел'!$E180*100</f>
        <v>#REF!</v>
      </c>
      <c r="G180" s="10" t="e">
        <f>'Список дел'!$D180&amp;"."&amp;TEXT('Список дел'!$F180,"#")</f>
        <v>#REF!</v>
      </c>
      <c r="H180" s="12" t="str">
        <f>IF(AND(Таблица24[[#This Row],[Задачи]]="",Таблица24[[#This Row],[Подзадачи]]=""),"",IF(Таблица24[[#This Row],[Задачи]]="","     "&amp;$G180&amp;" "&amp;$I180&amp;$J180,$G180&amp;" "&amp;$I180&amp;$J180))</f>
        <v/>
      </c>
      <c r="I180" s="2"/>
      <c r="J180" s="2"/>
      <c r="K180" s="2"/>
      <c r="L180" s="2"/>
      <c r="M180" s="2"/>
      <c r="N180" s="2"/>
      <c r="O180" s="2"/>
      <c r="P180" s="2"/>
      <c r="Q180" s="17"/>
      <c r="Z180" t="str">
        <f>IF(Таблица24[[#This Row],[Подзадачи]]="",IF($Y180=TRUE,SoundMe2(),""),IF($Y180=TRUE,SoundMe(),""))</f>
        <v/>
      </c>
    </row>
    <row r="181" spans="1:26" x14ac:dyDescent="0.25">
      <c r="A181" s="14" t="str">
        <f>IF('Список дел'!$I181&lt;&gt;"",MAX($A$1:A180)+1,"")</f>
        <v/>
      </c>
      <c r="B181" s="10" t="e">
        <f t="shared" si="5"/>
        <v>#REF!</v>
      </c>
      <c r="C181" s="10" t="e">
        <f t="shared" si="6"/>
        <v>#REF!</v>
      </c>
      <c r="D181" s="10" t="e">
        <f>TRUNC('Список дел'!$B181)</f>
        <v>#REF!</v>
      </c>
      <c r="E181" s="10" t="e">
        <f>'Список дел'!$B181-'Список дел'!$D181</f>
        <v>#REF!</v>
      </c>
      <c r="F181" s="10" t="e">
        <f>'Список дел'!$E181*100</f>
        <v>#REF!</v>
      </c>
      <c r="G181" s="10" t="e">
        <f>'Список дел'!$D181&amp;"."&amp;TEXT('Список дел'!$F181,"#")</f>
        <v>#REF!</v>
      </c>
      <c r="H181" s="12" t="str">
        <f>IF(AND(Таблица24[[#This Row],[Задачи]]="",Таблица24[[#This Row],[Подзадачи]]=""),"",IF(Таблица24[[#This Row],[Задачи]]="","     "&amp;$G181&amp;" "&amp;$I181&amp;$J181,$G181&amp;" "&amp;$I181&amp;$J181))</f>
        <v/>
      </c>
      <c r="I181" s="2"/>
      <c r="J181" s="2"/>
      <c r="K181" s="2"/>
      <c r="L181" s="2"/>
      <c r="M181" s="2"/>
      <c r="N181" s="2"/>
      <c r="O181" s="2"/>
      <c r="P181" s="2"/>
      <c r="Q181" s="17"/>
      <c r="Z181" t="str">
        <f>IF(Таблица24[[#This Row],[Подзадачи]]="",IF($Y181=TRUE,SoundMe2(),""),IF($Y181=TRUE,SoundMe(),""))</f>
        <v/>
      </c>
    </row>
    <row r="182" spans="1:26" x14ac:dyDescent="0.25">
      <c r="A182" s="14" t="str">
        <f>IF('Список дел'!$I182&lt;&gt;"",MAX($A$1:A181)+1,"")</f>
        <v/>
      </c>
      <c r="B182" s="10" t="e">
        <f t="shared" si="5"/>
        <v>#REF!</v>
      </c>
      <c r="C182" s="10" t="e">
        <f t="shared" si="6"/>
        <v>#REF!</v>
      </c>
      <c r="D182" s="10" t="e">
        <f>TRUNC('Список дел'!$B182)</f>
        <v>#REF!</v>
      </c>
      <c r="E182" s="10" t="e">
        <f>'Список дел'!$B182-'Список дел'!$D182</f>
        <v>#REF!</v>
      </c>
      <c r="F182" s="10" t="e">
        <f>'Список дел'!$E182*100</f>
        <v>#REF!</v>
      </c>
      <c r="G182" s="10" t="e">
        <f>'Список дел'!$D182&amp;"."&amp;TEXT('Список дел'!$F182,"#")</f>
        <v>#REF!</v>
      </c>
      <c r="H182" s="12" t="str">
        <f>IF(AND(Таблица24[[#This Row],[Задачи]]="",Таблица24[[#This Row],[Подзадачи]]=""),"",IF(Таблица24[[#This Row],[Задачи]]="","     "&amp;$G182&amp;" "&amp;$I182&amp;$J182,$G182&amp;" "&amp;$I182&amp;$J182))</f>
        <v/>
      </c>
      <c r="I182" s="2"/>
      <c r="J182" s="2"/>
      <c r="K182" s="2"/>
      <c r="L182" s="2"/>
      <c r="M182" s="2"/>
      <c r="N182" s="2"/>
      <c r="O182" s="2"/>
      <c r="P182" s="2"/>
      <c r="Q182" s="17"/>
      <c r="Z182" t="str">
        <f>IF(Таблица24[[#This Row],[Подзадачи]]="",IF($Y182=TRUE,SoundMe2(),""),IF($Y182=TRUE,SoundMe(),""))</f>
        <v/>
      </c>
    </row>
    <row r="183" spans="1:26" x14ac:dyDescent="0.25">
      <c r="A183" s="14" t="str">
        <f>IF('Список дел'!$I183&lt;&gt;"",MAX($A$1:A182)+1,"")</f>
        <v/>
      </c>
      <c r="B183" s="10" t="e">
        <f t="shared" si="5"/>
        <v>#REF!</v>
      </c>
      <c r="C183" s="10" t="e">
        <f t="shared" si="6"/>
        <v>#REF!</v>
      </c>
      <c r="D183" s="10" t="e">
        <f>TRUNC('Список дел'!$B183)</f>
        <v>#REF!</v>
      </c>
      <c r="E183" s="10" t="e">
        <f>'Список дел'!$B183-'Список дел'!$D183</f>
        <v>#REF!</v>
      </c>
      <c r="F183" s="10" t="e">
        <f>'Список дел'!$E183*100</f>
        <v>#REF!</v>
      </c>
      <c r="G183" s="10" t="e">
        <f>'Список дел'!$D183&amp;"."&amp;TEXT('Список дел'!$F183,"#")</f>
        <v>#REF!</v>
      </c>
      <c r="H183" s="12" t="str">
        <f>IF(AND(Таблица24[[#This Row],[Задачи]]="",Таблица24[[#This Row],[Подзадачи]]=""),"",IF(Таблица24[[#This Row],[Задачи]]="","     "&amp;$G183&amp;" "&amp;$I183&amp;$J183,$G183&amp;" "&amp;$I183&amp;$J183))</f>
        <v/>
      </c>
      <c r="I183" s="2"/>
      <c r="J183" s="2"/>
      <c r="K183" s="2"/>
      <c r="L183" s="2"/>
      <c r="M183" s="2"/>
      <c r="N183" s="2"/>
      <c r="O183" s="2"/>
      <c r="P183" s="2"/>
      <c r="Q183" s="17"/>
      <c r="Z183" t="str">
        <f>IF(Таблица24[[#This Row],[Подзадачи]]="",IF($Y183=TRUE,SoundMe2(),""),IF($Y183=TRUE,SoundMe(),""))</f>
        <v/>
      </c>
    </row>
    <row r="184" spans="1:26" x14ac:dyDescent="0.25">
      <c r="A184" s="14" t="str">
        <f>IF('Список дел'!$I184&lt;&gt;"",MAX($A$1:A183)+1,"")</f>
        <v/>
      </c>
      <c r="B184" s="10" t="e">
        <f t="shared" si="5"/>
        <v>#REF!</v>
      </c>
      <c r="C184" s="10" t="e">
        <f t="shared" si="6"/>
        <v>#REF!</v>
      </c>
      <c r="D184" s="10" t="e">
        <f>TRUNC('Список дел'!$B184)</f>
        <v>#REF!</v>
      </c>
      <c r="E184" s="10" t="e">
        <f>'Список дел'!$B184-'Список дел'!$D184</f>
        <v>#REF!</v>
      </c>
      <c r="F184" s="10" t="e">
        <f>'Список дел'!$E184*100</f>
        <v>#REF!</v>
      </c>
      <c r="G184" s="10" t="e">
        <f>'Список дел'!$D184&amp;"."&amp;TEXT('Список дел'!$F184,"#")</f>
        <v>#REF!</v>
      </c>
      <c r="H184" s="12" t="str">
        <f>IF(AND(Таблица24[[#This Row],[Задачи]]="",Таблица24[[#This Row],[Подзадачи]]=""),"",IF(Таблица24[[#This Row],[Задачи]]="","     "&amp;$G184&amp;" "&amp;$I184&amp;$J184,$G184&amp;" "&amp;$I184&amp;$J184))</f>
        <v/>
      </c>
      <c r="I184" s="2"/>
      <c r="J184" s="2"/>
      <c r="K184" s="2"/>
      <c r="L184" s="2"/>
      <c r="M184" s="2"/>
      <c r="N184" s="2"/>
      <c r="O184" s="2"/>
      <c r="P184" s="2"/>
      <c r="Q184" s="17"/>
      <c r="Z184" t="str">
        <f>IF(Таблица24[[#This Row],[Подзадачи]]="",IF($Y184=TRUE,SoundMe2(),""),IF($Y184=TRUE,SoundMe(),""))</f>
        <v/>
      </c>
    </row>
    <row r="185" spans="1:26" x14ac:dyDescent="0.25">
      <c r="A185" s="14" t="str">
        <f>IF('Список дел'!$I185&lt;&gt;"",MAX($A$1:A184)+1,"")</f>
        <v/>
      </c>
      <c r="B185" s="10" t="e">
        <f t="shared" si="5"/>
        <v>#REF!</v>
      </c>
      <c r="C185" s="10" t="e">
        <f t="shared" si="6"/>
        <v>#REF!</v>
      </c>
      <c r="D185" s="10" t="e">
        <f>TRUNC('Список дел'!$B185)</f>
        <v>#REF!</v>
      </c>
      <c r="E185" s="10" t="e">
        <f>'Список дел'!$B185-'Список дел'!$D185</f>
        <v>#REF!</v>
      </c>
      <c r="F185" s="10" t="e">
        <f>'Список дел'!$E185*100</f>
        <v>#REF!</v>
      </c>
      <c r="G185" s="10" t="e">
        <f>'Список дел'!$D185&amp;"."&amp;TEXT('Список дел'!$F185,"#")</f>
        <v>#REF!</v>
      </c>
      <c r="H185" s="12" t="str">
        <f>IF(AND(Таблица24[[#This Row],[Задачи]]="",Таблица24[[#This Row],[Подзадачи]]=""),"",IF(Таблица24[[#This Row],[Задачи]]="","     "&amp;$G185&amp;" "&amp;$I185&amp;$J185,$G185&amp;" "&amp;$I185&amp;$J185))</f>
        <v/>
      </c>
      <c r="I185" s="2"/>
      <c r="J185" s="2"/>
      <c r="K185" s="2"/>
      <c r="L185" s="2"/>
      <c r="M185" s="2"/>
      <c r="N185" s="2"/>
      <c r="O185" s="2"/>
      <c r="P185" s="2"/>
      <c r="Q185" s="17"/>
      <c r="Z185" t="str">
        <f>IF(Таблица24[[#This Row],[Подзадачи]]="",IF($Y185=TRUE,SoundMe2(),""),IF($Y185=TRUE,SoundMe(),""))</f>
        <v/>
      </c>
    </row>
    <row r="186" spans="1:26" x14ac:dyDescent="0.25">
      <c r="A186" s="14" t="str">
        <f>IF('Список дел'!$I186&lt;&gt;"",MAX($A$1:A185)+1,"")</f>
        <v/>
      </c>
      <c r="B186" s="10" t="e">
        <f t="shared" si="5"/>
        <v>#REF!</v>
      </c>
      <c r="C186" s="10" t="e">
        <f t="shared" si="6"/>
        <v>#REF!</v>
      </c>
      <c r="D186" s="10" t="e">
        <f>TRUNC('Список дел'!$B186)</f>
        <v>#REF!</v>
      </c>
      <c r="E186" s="10" t="e">
        <f>'Список дел'!$B186-'Список дел'!$D186</f>
        <v>#REF!</v>
      </c>
      <c r="F186" s="10" t="e">
        <f>'Список дел'!$E186*100</f>
        <v>#REF!</v>
      </c>
      <c r="G186" s="10" t="e">
        <f>'Список дел'!$D186&amp;"."&amp;TEXT('Список дел'!$F186,"#")</f>
        <v>#REF!</v>
      </c>
      <c r="H186" s="12" t="str">
        <f>IF(AND(Таблица24[[#This Row],[Задачи]]="",Таблица24[[#This Row],[Подзадачи]]=""),"",IF(Таблица24[[#This Row],[Задачи]]="","     "&amp;$G186&amp;" "&amp;$I186&amp;$J186,$G186&amp;" "&amp;$I186&amp;$J186))</f>
        <v/>
      </c>
      <c r="I186" s="2"/>
      <c r="J186" s="2"/>
      <c r="K186" s="2"/>
      <c r="L186" s="2"/>
      <c r="M186" s="2"/>
      <c r="N186" s="2"/>
      <c r="O186" s="2"/>
      <c r="P186" s="2"/>
      <c r="Q186" s="17"/>
      <c r="Z186" t="str">
        <f>IF(Таблица24[[#This Row],[Подзадачи]]="",IF($Y186=TRUE,SoundMe2(),""),IF($Y186=TRUE,SoundMe(),""))</f>
        <v/>
      </c>
    </row>
    <row r="187" spans="1:26" x14ac:dyDescent="0.25">
      <c r="A187" s="14" t="str">
        <f>IF('Список дел'!$I187&lt;&gt;"",MAX($A$1:A186)+1,"")</f>
        <v/>
      </c>
      <c r="B187" s="10" t="e">
        <f t="shared" si="5"/>
        <v>#REF!</v>
      </c>
      <c r="C187" s="10" t="e">
        <f t="shared" si="6"/>
        <v>#REF!</v>
      </c>
      <c r="D187" s="10" t="e">
        <f>TRUNC('Список дел'!$B187)</f>
        <v>#REF!</v>
      </c>
      <c r="E187" s="10" t="e">
        <f>'Список дел'!$B187-'Список дел'!$D187</f>
        <v>#REF!</v>
      </c>
      <c r="F187" s="10" t="e">
        <f>'Список дел'!$E187*100</f>
        <v>#REF!</v>
      </c>
      <c r="G187" s="10" t="e">
        <f>'Список дел'!$D187&amp;"."&amp;TEXT('Список дел'!$F187,"#")</f>
        <v>#REF!</v>
      </c>
      <c r="H187" s="12" t="str">
        <f>IF(AND(Таблица24[[#This Row],[Задачи]]="",Таблица24[[#This Row],[Подзадачи]]=""),"",IF(Таблица24[[#This Row],[Задачи]]="","     "&amp;$G187&amp;" "&amp;$I187&amp;$J187,$G187&amp;" "&amp;$I187&amp;$J187))</f>
        <v/>
      </c>
      <c r="I187" s="2"/>
      <c r="J187" s="2"/>
      <c r="K187" s="2"/>
      <c r="L187" s="2"/>
      <c r="M187" s="2"/>
      <c r="N187" s="2"/>
      <c r="O187" s="2"/>
      <c r="P187" s="2"/>
      <c r="Q187" s="17"/>
      <c r="Z187" t="str">
        <f>IF(Таблица24[[#This Row],[Подзадачи]]="",IF($Y187=TRUE,SoundMe2(),""),IF($Y187=TRUE,SoundMe(),""))</f>
        <v/>
      </c>
    </row>
    <row r="188" spans="1:26" x14ac:dyDescent="0.25">
      <c r="A188" s="14" t="str">
        <f>IF('Список дел'!$I188&lt;&gt;"",MAX($A$1:A187)+1,"")</f>
        <v/>
      </c>
      <c r="B188" s="10" t="e">
        <f t="shared" si="5"/>
        <v>#REF!</v>
      </c>
      <c r="C188" s="10" t="e">
        <f t="shared" si="6"/>
        <v>#REF!</v>
      </c>
      <c r="D188" s="10" t="e">
        <f>TRUNC('Список дел'!$B188)</f>
        <v>#REF!</v>
      </c>
      <c r="E188" s="10" t="e">
        <f>'Список дел'!$B188-'Список дел'!$D188</f>
        <v>#REF!</v>
      </c>
      <c r="F188" s="10" t="e">
        <f>'Список дел'!$E188*100</f>
        <v>#REF!</v>
      </c>
      <c r="G188" s="10" t="e">
        <f>'Список дел'!$D188&amp;"."&amp;TEXT('Список дел'!$F188,"#")</f>
        <v>#REF!</v>
      </c>
      <c r="H188" s="12" t="str">
        <f>IF(AND(Таблица24[[#This Row],[Задачи]]="",Таблица24[[#This Row],[Подзадачи]]=""),"",IF(Таблица24[[#This Row],[Задачи]]="","     "&amp;$G188&amp;" "&amp;$I188&amp;$J188,$G188&amp;" "&amp;$I188&amp;$J188))</f>
        <v/>
      </c>
      <c r="I188" s="2"/>
      <c r="J188" s="2"/>
      <c r="K188" s="2"/>
      <c r="L188" s="2"/>
      <c r="M188" s="2"/>
      <c r="N188" s="2"/>
      <c r="O188" s="2"/>
      <c r="P188" s="2"/>
      <c r="Q188" s="17"/>
      <c r="Z188" t="str">
        <f>IF(Таблица24[[#This Row],[Подзадачи]]="",IF($Y188=TRUE,SoundMe2(),""),IF($Y188=TRUE,SoundMe(),""))</f>
        <v/>
      </c>
    </row>
    <row r="189" spans="1:26" x14ac:dyDescent="0.25">
      <c r="A189" s="14" t="str">
        <f>IF('Список дел'!$I189&lt;&gt;"",MAX($A$1:A188)+1,"")</f>
        <v/>
      </c>
      <c r="B189" s="10" t="e">
        <f t="shared" si="5"/>
        <v>#REF!</v>
      </c>
      <c r="C189" s="10" t="e">
        <f t="shared" si="6"/>
        <v>#REF!</v>
      </c>
      <c r="D189" s="10" t="e">
        <f>TRUNC('Список дел'!$B189)</f>
        <v>#REF!</v>
      </c>
      <c r="E189" s="10" t="e">
        <f>'Список дел'!$B189-'Список дел'!$D189</f>
        <v>#REF!</v>
      </c>
      <c r="F189" s="10" t="e">
        <f>'Список дел'!$E189*100</f>
        <v>#REF!</v>
      </c>
      <c r="G189" s="10" t="e">
        <f>'Список дел'!$D189&amp;"."&amp;TEXT('Список дел'!$F189,"#")</f>
        <v>#REF!</v>
      </c>
      <c r="H189" s="12" t="str">
        <f>IF(AND(Таблица24[[#This Row],[Задачи]]="",Таблица24[[#This Row],[Подзадачи]]=""),"",IF(Таблица24[[#This Row],[Задачи]]="","     "&amp;$G189&amp;" "&amp;$I189&amp;$J189,$G189&amp;" "&amp;$I189&amp;$J189))</f>
        <v/>
      </c>
      <c r="I189" s="2"/>
      <c r="J189" s="2"/>
      <c r="K189" s="2"/>
      <c r="L189" s="2"/>
      <c r="M189" s="2"/>
      <c r="N189" s="2"/>
      <c r="O189" s="2"/>
      <c r="P189" s="2"/>
      <c r="Q189" s="17"/>
      <c r="Z189" t="str">
        <f>IF(Таблица24[[#This Row],[Подзадачи]]="",IF($Y189=TRUE,SoundMe2(),""),IF($Y189=TRUE,SoundMe(),""))</f>
        <v/>
      </c>
    </row>
    <row r="190" spans="1:26" x14ac:dyDescent="0.25">
      <c r="A190" s="14" t="str">
        <f>IF('Список дел'!$I190&lt;&gt;"",MAX($A$1:A189)+1,"")</f>
        <v/>
      </c>
      <c r="B190" s="10" t="e">
        <f t="shared" ref="B190:B199" si="7">IF(A190&lt;&gt;"",A190,$B189+0.01)</f>
        <v>#REF!</v>
      </c>
      <c r="C190" s="10" t="e">
        <f t="shared" ref="C190:C199" si="8">IF(B190&lt;&gt;"",B190,C189+0.01)</f>
        <v>#REF!</v>
      </c>
      <c r="D190" s="10" t="e">
        <f>TRUNC('Список дел'!$B190)</f>
        <v>#REF!</v>
      </c>
      <c r="E190" s="10" t="e">
        <f>'Список дел'!$B190-'Список дел'!$D190</f>
        <v>#REF!</v>
      </c>
      <c r="F190" s="10" t="e">
        <f>'Список дел'!$E190*100</f>
        <v>#REF!</v>
      </c>
      <c r="G190" s="10" t="e">
        <f>'Список дел'!$D190&amp;"."&amp;TEXT('Список дел'!$F190,"#")</f>
        <v>#REF!</v>
      </c>
      <c r="H190" s="12" t="str">
        <f>IF(AND(Таблица24[[#This Row],[Задачи]]="",Таблица24[[#This Row],[Подзадачи]]=""),"",IF(Таблица24[[#This Row],[Задачи]]="","     "&amp;$G190&amp;" "&amp;$I190&amp;$J190,$G190&amp;" "&amp;$I190&amp;$J190))</f>
        <v/>
      </c>
      <c r="I190" s="2"/>
      <c r="J190" s="2"/>
      <c r="K190" s="2"/>
      <c r="L190" s="2"/>
      <c r="M190" s="2"/>
      <c r="N190" s="2"/>
      <c r="O190" s="2"/>
      <c r="P190" s="2"/>
      <c r="Q190" s="17"/>
      <c r="Z190" t="str">
        <f>IF(Таблица24[[#This Row],[Подзадачи]]="",IF($Y190=TRUE,SoundMe2(),""),IF($Y190=TRUE,SoundMe(),""))</f>
        <v/>
      </c>
    </row>
    <row r="191" spans="1:26" x14ac:dyDescent="0.25">
      <c r="A191" s="14" t="str">
        <f>IF('Список дел'!$I191&lt;&gt;"",MAX($A$1:A190)+1,"")</f>
        <v/>
      </c>
      <c r="B191" s="10" t="e">
        <f t="shared" si="7"/>
        <v>#REF!</v>
      </c>
      <c r="C191" s="10" t="e">
        <f t="shared" si="8"/>
        <v>#REF!</v>
      </c>
      <c r="D191" s="10" t="e">
        <f>TRUNC('Список дел'!$B191)</f>
        <v>#REF!</v>
      </c>
      <c r="E191" s="10" t="e">
        <f>'Список дел'!$B191-'Список дел'!$D191</f>
        <v>#REF!</v>
      </c>
      <c r="F191" s="10" t="e">
        <f>'Список дел'!$E191*100</f>
        <v>#REF!</v>
      </c>
      <c r="G191" s="10" t="e">
        <f>'Список дел'!$D191&amp;"."&amp;TEXT('Список дел'!$F191,"#")</f>
        <v>#REF!</v>
      </c>
      <c r="H191" s="12" t="str">
        <f>IF(AND(Таблица24[[#This Row],[Задачи]]="",Таблица24[[#This Row],[Подзадачи]]=""),"",IF(Таблица24[[#This Row],[Задачи]]="","     "&amp;$G191&amp;" "&amp;$I191&amp;$J191,$G191&amp;" "&amp;$I191&amp;$J191))</f>
        <v/>
      </c>
      <c r="I191" s="2"/>
      <c r="J191" s="2"/>
      <c r="K191" s="2"/>
      <c r="L191" s="2"/>
      <c r="M191" s="2"/>
      <c r="N191" s="2"/>
      <c r="O191" s="2"/>
      <c r="P191" s="2"/>
      <c r="Q191" s="17"/>
      <c r="Z191" t="str">
        <f>IF(Таблица24[[#This Row],[Подзадачи]]="",IF($Y191=TRUE,SoundMe2(),""),IF($Y191=TRUE,SoundMe(),""))</f>
        <v/>
      </c>
    </row>
    <row r="192" spans="1:26" x14ac:dyDescent="0.25">
      <c r="A192" s="14" t="str">
        <f>IF('Список дел'!$I192&lt;&gt;"",MAX($A$1:A191)+1,"")</f>
        <v/>
      </c>
      <c r="B192" s="10" t="e">
        <f t="shared" si="7"/>
        <v>#REF!</v>
      </c>
      <c r="C192" s="10" t="e">
        <f t="shared" si="8"/>
        <v>#REF!</v>
      </c>
      <c r="D192" s="10" t="e">
        <f>TRUNC('Список дел'!$B192)</f>
        <v>#REF!</v>
      </c>
      <c r="E192" s="10" t="e">
        <f>'Список дел'!$B192-'Список дел'!$D192</f>
        <v>#REF!</v>
      </c>
      <c r="F192" s="10" t="e">
        <f>'Список дел'!$E192*100</f>
        <v>#REF!</v>
      </c>
      <c r="G192" s="10" t="e">
        <f>'Список дел'!$D192&amp;"."&amp;TEXT('Список дел'!$F192,"#")</f>
        <v>#REF!</v>
      </c>
      <c r="H192" s="12" t="str">
        <f>IF(AND(Таблица24[[#This Row],[Задачи]]="",Таблица24[[#This Row],[Подзадачи]]=""),"",IF(Таблица24[[#This Row],[Задачи]]="","     "&amp;$G192&amp;" "&amp;$I192&amp;$J192,$G192&amp;" "&amp;$I192&amp;$J192))</f>
        <v/>
      </c>
      <c r="I192" s="2"/>
      <c r="J192" s="2"/>
      <c r="K192" s="2"/>
      <c r="L192" s="2"/>
      <c r="M192" s="2"/>
      <c r="N192" s="2"/>
      <c r="O192" s="2"/>
      <c r="P192" s="2"/>
      <c r="Q192" s="17"/>
      <c r="Z192" t="str">
        <f>IF(Таблица24[[#This Row],[Подзадачи]]="",IF($Y192=TRUE,SoundMe2(),""),IF($Y192=TRUE,SoundMe(),""))</f>
        <v/>
      </c>
    </row>
    <row r="193" spans="1:26" x14ac:dyDescent="0.25">
      <c r="A193" s="14" t="str">
        <f>IF('Список дел'!$I193&lt;&gt;"",MAX($A$1:A192)+1,"")</f>
        <v/>
      </c>
      <c r="B193" s="10" t="e">
        <f t="shared" si="7"/>
        <v>#REF!</v>
      </c>
      <c r="C193" s="10" t="e">
        <f t="shared" si="8"/>
        <v>#REF!</v>
      </c>
      <c r="D193" s="10" t="e">
        <f>TRUNC('Список дел'!$B193)</f>
        <v>#REF!</v>
      </c>
      <c r="E193" s="10" t="e">
        <f>'Список дел'!$B193-'Список дел'!$D193</f>
        <v>#REF!</v>
      </c>
      <c r="F193" s="10" t="e">
        <f>'Список дел'!$E193*100</f>
        <v>#REF!</v>
      </c>
      <c r="G193" s="10" t="e">
        <f>'Список дел'!$D193&amp;"."&amp;TEXT('Список дел'!$F193,"#")</f>
        <v>#REF!</v>
      </c>
      <c r="H193" s="12" t="str">
        <f>IF(AND(Таблица24[[#This Row],[Задачи]]="",Таблица24[[#This Row],[Подзадачи]]=""),"",IF(Таблица24[[#This Row],[Задачи]]="","     "&amp;$G193&amp;" "&amp;$I193&amp;$J193,$G193&amp;" "&amp;$I193&amp;$J193))</f>
        <v/>
      </c>
      <c r="I193" s="2"/>
      <c r="J193" s="2"/>
      <c r="K193" s="2"/>
      <c r="L193" s="2"/>
      <c r="M193" s="2"/>
      <c r="N193" s="2"/>
      <c r="O193" s="2"/>
      <c r="P193" s="2"/>
      <c r="Q193" s="17"/>
      <c r="Z193" t="str">
        <f>IF(Таблица24[[#This Row],[Подзадачи]]="",IF($Y193=TRUE,SoundMe2(),""),IF($Y193=TRUE,SoundMe(),""))</f>
        <v/>
      </c>
    </row>
    <row r="194" spans="1:26" x14ac:dyDescent="0.25">
      <c r="A194" s="14" t="str">
        <f>IF('Список дел'!$I194&lt;&gt;"",MAX($A$1:A193)+1,"")</f>
        <v/>
      </c>
      <c r="B194" s="10" t="e">
        <f t="shared" si="7"/>
        <v>#REF!</v>
      </c>
      <c r="C194" s="10" t="e">
        <f t="shared" si="8"/>
        <v>#REF!</v>
      </c>
      <c r="D194" s="10" t="e">
        <f>TRUNC('Список дел'!$B194)</f>
        <v>#REF!</v>
      </c>
      <c r="E194" s="10" t="e">
        <f>'Список дел'!$B194-'Список дел'!$D194</f>
        <v>#REF!</v>
      </c>
      <c r="F194" s="10" t="e">
        <f>'Список дел'!$E194*100</f>
        <v>#REF!</v>
      </c>
      <c r="G194" s="10" t="e">
        <f>'Список дел'!$D194&amp;"."&amp;TEXT('Список дел'!$F194,"#")</f>
        <v>#REF!</v>
      </c>
      <c r="H194" s="12" t="str">
        <f>IF(AND(Таблица24[[#This Row],[Задачи]]="",Таблица24[[#This Row],[Подзадачи]]=""),"",IF(Таблица24[[#This Row],[Задачи]]="","     "&amp;$G194&amp;" "&amp;$I194&amp;$J194,$G194&amp;" "&amp;$I194&amp;$J194))</f>
        <v/>
      </c>
      <c r="I194" s="2"/>
      <c r="J194" s="2"/>
      <c r="K194" s="2"/>
      <c r="L194" s="2"/>
      <c r="M194" s="2"/>
      <c r="N194" s="2"/>
      <c r="O194" s="2"/>
      <c r="P194" s="2"/>
      <c r="Q194" s="17"/>
      <c r="Z194" t="str">
        <f>IF(Таблица24[[#This Row],[Подзадачи]]="",IF($Y194=TRUE,SoundMe2(),""),IF($Y194=TRUE,SoundMe(),""))</f>
        <v/>
      </c>
    </row>
    <row r="195" spans="1:26" x14ac:dyDescent="0.25">
      <c r="A195" s="14" t="str">
        <f>IF('Список дел'!$I195&lt;&gt;"",MAX($A$1:A194)+1,"")</f>
        <v/>
      </c>
      <c r="B195" s="10" t="e">
        <f t="shared" si="7"/>
        <v>#REF!</v>
      </c>
      <c r="C195" s="10" t="e">
        <f t="shared" si="8"/>
        <v>#REF!</v>
      </c>
      <c r="D195" s="10" t="e">
        <f>TRUNC('Список дел'!$B195)</f>
        <v>#REF!</v>
      </c>
      <c r="E195" s="10" t="e">
        <f>'Список дел'!$B195-'Список дел'!$D195</f>
        <v>#REF!</v>
      </c>
      <c r="F195" s="10" t="e">
        <f>'Список дел'!$E195*100</f>
        <v>#REF!</v>
      </c>
      <c r="G195" s="10" t="e">
        <f>'Список дел'!$D195&amp;"."&amp;TEXT('Список дел'!$F195,"#")</f>
        <v>#REF!</v>
      </c>
      <c r="H195" s="12" t="str">
        <f>IF(AND(Таблица24[[#This Row],[Задачи]]="",Таблица24[[#This Row],[Подзадачи]]=""),"",IF(Таблица24[[#This Row],[Задачи]]="","     "&amp;$G195&amp;" "&amp;$I195&amp;$J195,$G195&amp;" "&amp;$I195&amp;$J195))</f>
        <v/>
      </c>
      <c r="I195" s="2"/>
      <c r="J195" s="2"/>
      <c r="K195" s="2"/>
      <c r="L195" s="2"/>
      <c r="M195" s="2"/>
      <c r="N195" s="2"/>
      <c r="O195" s="2"/>
      <c r="P195" s="2"/>
      <c r="Q195" s="17"/>
      <c r="Z195" t="str">
        <f>IF(Таблица24[[#This Row],[Подзадачи]]="",IF($Y195=TRUE,SoundMe2(),""),IF($Y195=TRUE,SoundMe(),""))</f>
        <v/>
      </c>
    </row>
    <row r="196" spans="1:26" x14ac:dyDescent="0.25">
      <c r="A196" s="14" t="str">
        <f>IF('Список дел'!$I196&lt;&gt;"",MAX($A$1:A195)+1,"")</f>
        <v/>
      </c>
      <c r="B196" s="10" t="e">
        <f t="shared" si="7"/>
        <v>#REF!</v>
      </c>
      <c r="C196" s="10" t="e">
        <f t="shared" si="8"/>
        <v>#REF!</v>
      </c>
      <c r="D196" s="10" t="e">
        <f>TRUNC('Список дел'!$B196)</f>
        <v>#REF!</v>
      </c>
      <c r="E196" s="10" t="e">
        <f>'Список дел'!$B196-'Список дел'!$D196</f>
        <v>#REF!</v>
      </c>
      <c r="F196" s="10" t="e">
        <f>'Список дел'!$E196*100</f>
        <v>#REF!</v>
      </c>
      <c r="G196" s="10" t="e">
        <f>'Список дел'!$D196&amp;"."&amp;TEXT('Список дел'!$F196,"#")</f>
        <v>#REF!</v>
      </c>
      <c r="H196" s="12" t="str">
        <f>IF(AND(Таблица24[[#This Row],[Задачи]]="",Таблица24[[#This Row],[Подзадачи]]=""),"",IF(Таблица24[[#This Row],[Задачи]]="","     "&amp;$G196&amp;" "&amp;$I196&amp;$J196,$G196&amp;" "&amp;$I196&amp;$J196))</f>
        <v/>
      </c>
      <c r="I196" s="2"/>
      <c r="J196" s="2"/>
      <c r="K196" s="2"/>
      <c r="L196" s="2"/>
      <c r="M196" s="2"/>
      <c r="N196" s="2"/>
      <c r="O196" s="2"/>
      <c r="P196" s="2"/>
      <c r="Q196" s="17"/>
      <c r="Z196" t="str">
        <f>IF(Таблица24[[#This Row],[Подзадачи]]="",IF($Y196=TRUE,SoundMe2(),""),IF($Y196=TRUE,SoundMe(),""))</f>
        <v/>
      </c>
    </row>
    <row r="197" spans="1:26" x14ac:dyDescent="0.25">
      <c r="A197" s="14" t="str">
        <f>IF('Список дел'!$I197&lt;&gt;"",MAX($A$1:A196)+1,"")</f>
        <v/>
      </c>
      <c r="B197" s="10" t="e">
        <f t="shared" si="7"/>
        <v>#REF!</v>
      </c>
      <c r="C197" s="10" t="e">
        <f t="shared" si="8"/>
        <v>#REF!</v>
      </c>
      <c r="D197" s="10" t="e">
        <f>TRUNC('Список дел'!$B197)</f>
        <v>#REF!</v>
      </c>
      <c r="E197" s="10" t="e">
        <f>'Список дел'!$B197-'Список дел'!$D197</f>
        <v>#REF!</v>
      </c>
      <c r="F197" s="10" t="e">
        <f>'Список дел'!$E197*100</f>
        <v>#REF!</v>
      </c>
      <c r="G197" s="10" t="e">
        <f>'Список дел'!$D197&amp;"."&amp;TEXT('Список дел'!$F197,"#")</f>
        <v>#REF!</v>
      </c>
      <c r="H197" s="12" t="str">
        <f>IF(AND(Таблица24[[#This Row],[Задачи]]="",Таблица24[[#This Row],[Подзадачи]]=""),"",IF(Таблица24[[#This Row],[Задачи]]="","     "&amp;$G197&amp;" "&amp;$I197&amp;$J197,$G197&amp;" "&amp;$I197&amp;$J197))</f>
        <v/>
      </c>
      <c r="I197" s="2"/>
      <c r="J197" s="2"/>
      <c r="K197" s="2"/>
      <c r="L197" s="2"/>
      <c r="M197" s="2"/>
      <c r="N197" s="2"/>
      <c r="O197" s="2"/>
      <c r="P197" s="2"/>
      <c r="Q197" s="17"/>
      <c r="Z197" t="str">
        <f>IF(Таблица24[[#This Row],[Подзадачи]]="",IF($Y197=TRUE,SoundMe2(),""),IF($Y197=TRUE,SoundMe(),""))</f>
        <v/>
      </c>
    </row>
    <row r="198" spans="1:26" x14ac:dyDescent="0.25">
      <c r="A198" s="14" t="str">
        <f>IF('Список дел'!$I198&lt;&gt;"",MAX($A$1:A197)+1,"")</f>
        <v/>
      </c>
      <c r="B198" s="10" t="e">
        <f t="shared" si="7"/>
        <v>#REF!</v>
      </c>
      <c r="C198" s="10" t="e">
        <f t="shared" si="8"/>
        <v>#REF!</v>
      </c>
      <c r="D198" s="10" t="e">
        <f>TRUNC('Список дел'!$B198)</f>
        <v>#REF!</v>
      </c>
      <c r="E198" s="10" t="e">
        <f>'Список дел'!$B198-'Список дел'!$D198</f>
        <v>#REF!</v>
      </c>
      <c r="F198" s="10" t="e">
        <f>'Список дел'!$E198*100</f>
        <v>#REF!</v>
      </c>
      <c r="G198" s="10" t="e">
        <f>'Список дел'!$D198&amp;"."&amp;TEXT('Список дел'!$F198,"#")</f>
        <v>#REF!</v>
      </c>
      <c r="H198" s="12" t="str">
        <f>IF(AND(Таблица24[[#This Row],[Задачи]]="",Таблица24[[#This Row],[Подзадачи]]=""),"",IF(Таблица24[[#This Row],[Задачи]]="","     "&amp;$G198&amp;" "&amp;$I198&amp;$J198,$G198&amp;" "&amp;$I198&amp;$J198))</f>
        <v/>
      </c>
      <c r="I198" s="2"/>
      <c r="J198" s="2"/>
      <c r="K198" s="2"/>
      <c r="L198" s="2"/>
      <c r="M198" s="2"/>
      <c r="N198" s="2"/>
      <c r="O198" s="2"/>
      <c r="P198" s="2"/>
      <c r="Q198" s="17"/>
      <c r="Z198" t="str">
        <f>IF(Таблица24[[#This Row],[Подзадачи]]="",IF($Y197=TRUE,SoundMe2(),""),IF($Y197=TRUE,SoundMe(),""))</f>
        <v/>
      </c>
    </row>
    <row r="199" spans="1:26" x14ac:dyDescent="0.25">
      <c r="A199" s="14" t="str">
        <f>IF('Список дел'!$I199&lt;&gt;"",MAX($A$1:A198)+1,"")</f>
        <v/>
      </c>
      <c r="B199" s="10" t="e">
        <f t="shared" si="7"/>
        <v>#REF!</v>
      </c>
      <c r="C199" s="10" t="e">
        <f t="shared" si="8"/>
        <v>#REF!</v>
      </c>
      <c r="D199" s="10" t="e">
        <f>TRUNC('Список дел'!$B199)</f>
        <v>#REF!</v>
      </c>
      <c r="E199" s="10" t="e">
        <f>'Список дел'!$B199-'Список дел'!$D199</f>
        <v>#REF!</v>
      </c>
      <c r="F199" s="10" t="e">
        <f>'Список дел'!$E199*100</f>
        <v>#REF!</v>
      </c>
      <c r="G199" s="10" t="e">
        <f>'Список дел'!$D199&amp;"."&amp;TEXT('Список дел'!$F199,"#")</f>
        <v>#REF!</v>
      </c>
      <c r="H199" s="12" t="str">
        <f>IF(AND(Таблица24[[#This Row],[Задачи]]="",Таблица24[[#This Row],[Подзадачи]]=""),"",IF(Таблица24[[#This Row],[Задачи]]="","     "&amp;$G199&amp;" "&amp;$I199&amp;$J199,$G199&amp;" "&amp;$I199&amp;$J199))</f>
        <v/>
      </c>
      <c r="I199" s="7"/>
      <c r="J199" s="7"/>
      <c r="K199" s="7"/>
      <c r="L199" s="7"/>
      <c r="M199" s="7"/>
      <c r="N199" s="7"/>
      <c r="O199" s="7"/>
      <c r="P199" s="7"/>
      <c r="Q199" s="11"/>
      <c r="Z199" t="str">
        <f>IF(Таблица24[[#This Row],[Подзадачи]]="",IF($Y198=TRUE,SoundMe2(),""),IF($Y198=TRUE,SoundMe(),""))</f>
        <v/>
      </c>
    </row>
    <row r="207" spans="1:26" collapsed="1" x14ac:dyDescent="0.25"/>
    <row r="211" collapsed="1" x14ac:dyDescent="0.25"/>
    <row r="215" collapsed="1" x14ac:dyDescent="0.25"/>
  </sheetData>
  <conditionalFormatting sqref="A1:Q1048576">
    <cfRule type="expression" dxfId="24" priority="3">
      <formula>$Y1</formula>
    </cfRule>
  </conditionalFormatting>
  <conditionalFormatting sqref="I2:I1048576">
    <cfRule type="expression" dxfId="23" priority="2">
      <formula>J2&lt;&gt;""</formula>
    </cfRule>
  </conditionalFormatting>
  <conditionalFormatting sqref="J2:K1048576">
    <cfRule type="expression" dxfId="22" priority="5">
      <formula>L2&lt;&gt;""</formula>
    </cfRule>
  </conditionalFormatting>
  <pageMargins left="0.25" right="0.25" top="0.75" bottom="0.75" header="0.3" footer="0.3"/>
  <pageSetup paperSize="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390525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18</xdr:col>
                    <xdr:colOff>390525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17</xdr:col>
                    <xdr:colOff>0</xdr:colOff>
                    <xdr:row>3</xdr:row>
                    <xdr:rowOff>0</xdr:rowOff>
                  </from>
                  <to>
                    <xdr:col>18</xdr:col>
                    <xdr:colOff>390525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17</xdr:col>
                    <xdr:colOff>0</xdr:colOff>
                    <xdr:row>4</xdr:row>
                    <xdr:rowOff>0</xdr:rowOff>
                  </from>
                  <to>
                    <xdr:col>18</xdr:col>
                    <xdr:colOff>390525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17</xdr:col>
                    <xdr:colOff>0</xdr:colOff>
                    <xdr:row>5</xdr:row>
                    <xdr:rowOff>0</xdr:rowOff>
                  </from>
                  <to>
                    <xdr:col>18</xdr:col>
                    <xdr:colOff>390525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17</xdr:col>
                    <xdr:colOff>0</xdr:colOff>
                    <xdr:row>6</xdr:row>
                    <xdr:rowOff>0</xdr:rowOff>
                  </from>
                  <to>
                    <xdr:col>18</xdr:col>
                    <xdr:colOff>390525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Check Box 7">
              <controlPr defaultSize="0" autoFill="0" autoLine="0" autoPict="0">
                <anchor moveWithCells="1">
                  <from>
                    <xdr:col>17</xdr:col>
                    <xdr:colOff>0</xdr:colOff>
                    <xdr:row>6</xdr:row>
                    <xdr:rowOff>0</xdr:rowOff>
                  </from>
                  <to>
                    <xdr:col>18</xdr:col>
                    <xdr:colOff>390525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Check Box 8">
              <controlPr defaultSize="0" autoFill="0" autoLine="0" autoPict="0">
                <anchor moveWithCells="1">
                  <from>
                    <xdr:col>17</xdr:col>
                    <xdr:colOff>0</xdr:colOff>
                    <xdr:row>6</xdr:row>
                    <xdr:rowOff>0</xdr:rowOff>
                  </from>
                  <to>
                    <xdr:col>18</xdr:col>
                    <xdr:colOff>390525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Check Box 9">
              <controlPr defaultSize="0" autoFill="0" autoLine="0" autoPict="0">
                <anchor moveWithCells="1">
                  <from>
                    <xdr:col>17</xdr:col>
                    <xdr:colOff>0</xdr:colOff>
                    <xdr:row>6</xdr:row>
                    <xdr:rowOff>0</xdr:rowOff>
                  </from>
                  <to>
                    <xdr:col>18</xdr:col>
                    <xdr:colOff>390525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Check Box 10">
              <controlPr defaultSize="0" autoFill="0" autoLine="0" autoPict="0">
                <anchor moveWithCells="1">
                  <from>
                    <xdr:col>17</xdr:col>
                    <xdr:colOff>0</xdr:colOff>
                    <xdr:row>6</xdr:row>
                    <xdr:rowOff>0</xdr:rowOff>
                  </from>
                  <to>
                    <xdr:col>18</xdr:col>
                    <xdr:colOff>390525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Check Box 11">
              <controlPr defaultSize="0" autoFill="0" autoLine="0" autoPict="0">
                <anchor moveWithCells="1">
                  <from>
                    <xdr:col>17</xdr:col>
                    <xdr:colOff>0</xdr:colOff>
                    <xdr:row>6</xdr:row>
                    <xdr:rowOff>0</xdr:rowOff>
                  </from>
                  <to>
                    <xdr:col>18</xdr:col>
                    <xdr:colOff>390525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Check Box 12">
              <controlPr defaultSize="0" autoFill="0" autoLine="0" autoPict="0">
                <anchor moveWithCells="1">
                  <from>
                    <xdr:col>17</xdr:col>
                    <xdr:colOff>0</xdr:colOff>
                    <xdr:row>6</xdr:row>
                    <xdr:rowOff>0</xdr:rowOff>
                  </from>
                  <to>
                    <xdr:col>18</xdr:col>
                    <xdr:colOff>390525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Check Box 13">
              <controlPr defaultSize="0" autoFill="0" autoLine="0" autoPict="0">
                <anchor moveWithCells="1">
                  <from>
                    <xdr:col>17</xdr:col>
                    <xdr:colOff>0</xdr:colOff>
                    <xdr:row>6</xdr:row>
                    <xdr:rowOff>0</xdr:rowOff>
                  </from>
                  <to>
                    <xdr:col>18</xdr:col>
                    <xdr:colOff>390525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Check Box 14">
              <controlPr defaultSize="0" autoFill="0" autoLine="0" autoPict="0">
                <anchor moveWithCells="1">
                  <from>
                    <xdr:col>17</xdr:col>
                    <xdr:colOff>0</xdr:colOff>
                    <xdr:row>6</xdr:row>
                    <xdr:rowOff>0</xdr:rowOff>
                  </from>
                  <to>
                    <xdr:col>18</xdr:col>
                    <xdr:colOff>390525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Check Box 15">
              <controlPr defaultSize="0" autoFill="0" autoLine="0" autoPict="0">
                <anchor moveWithCells="1">
                  <from>
                    <xdr:col>17</xdr:col>
                    <xdr:colOff>0</xdr:colOff>
                    <xdr:row>6</xdr:row>
                    <xdr:rowOff>0</xdr:rowOff>
                  </from>
                  <to>
                    <xdr:col>18</xdr:col>
                    <xdr:colOff>390525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Check Box 16">
              <controlPr defaultSize="0" autoFill="0" autoLine="0" autoPict="0">
                <anchor moveWithCells="1">
                  <from>
                    <xdr:col>17</xdr:col>
                    <xdr:colOff>0</xdr:colOff>
                    <xdr:row>6</xdr:row>
                    <xdr:rowOff>0</xdr:rowOff>
                  </from>
                  <to>
                    <xdr:col>18</xdr:col>
                    <xdr:colOff>390525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Check Box 17">
              <controlPr defaultSize="0" autoFill="0" autoLine="0" autoPict="0">
                <anchor moveWithCells="1">
                  <from>
                    <xdr:col>17</xdr:col>
                    <xdr:colOff>0</xdr:colOff>
                    <xdr:row>6</xdr:row>
                    <xdr:rowOff>0</xdr:rowOff>
                  </from>
                  <to>
                    <xdr:col>18</xdr:col>
                    <xdr:colOff>390525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Check Box 18">
              <controlPr defaultSize="0" autoFill="0" autoLine="0" autoPict="0">
                <anchor moveWithCells="1">
                  <from>
                    <xdr:col>17</xdr:col>
                    <xdr:colOff>0</xdr:colOff>
                    <xdr:row>6</xdr:row>
                    <xdr:rowOff>0</xdr:rowOff>
                  </from>
                  <to>
                    <xdr:col>18</xdr:col>
                    <xdr:colOff>390525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Check Box 19">
              <controlPr defaultSize="0" autoFill="0" autoLine="0" autoPict="0">
                <anchor moveWithCells="1">
                  <from>
                    <xdr:col>17</xdr:col>
                    <xdr:colOff>0</xdr:colOff>
                    <xdr:row>29</xdr:row>
                    <xdr:rowOff>0</xdr:rowOff>
                  </from>
                  <to>
                    <xdr:col>18</xdr:col>
                    <xdr:colOff>390525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Check Box 20">
              <controlPr defaultSize="0" autoFill="0" autoLine="0" autoPict="0">
                <anchor moveWithCells="1">
                  <from>
                    <xdr:col>17</xdr:col>
                    <xdr:colOff>0</xdr:colOff>
                    <xdr:row>29</xdr:row>
                    <xdr:rowOff>0</xdr:rowOff>
                  </from>
                  <to>
                    <xdr:col>18</xdr:col>
                    <xdr:colOff>390525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Check Box 21">
              <controlPr defaultSize="0" autoFill="0" autoLine="0" autoPict="0">
                <anchor moveWithCells="1">
                  <from>
                    <xdr:col>17</xdr:col>
                    <xdr:colOff>0</xdr:colOff>
                    <xdr:row>30</xdr:row>
                    <xdr:rowOff>0</xdr:rowOff>
                  </from>
                  <to>
                    <xdr:col>18</xdr:col>
                    <xdr:colOff>390525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Check Box 22">
              <controlPr defaultSize="0" autoFill="0" autoLine="0" autoPict="0">
                <anchor mov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390525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Check Box 23">
              <controlPr defaultSize="0" autoFill="0" autoLine="0" autoPict="0">
                <anchor moveWithCells="1">
                  <from>
                    <xdr:col>17</xdr:col>
                    <xdr:colOff>0</xdr:colOff>
                    <xdr:row>32</xdr:row>
                    <xdr:rowOff>0</xdr:rowOff>
                  </from>
                  <to>
                    <xdr:col>18</xdr:col>
                    <xdr:colOff>390525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Check Box 24">
              <controlPr defaultSize="0" autoFill="0" autoLine="0" autoPict="0">
                <anchor mov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390525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Check Box 25">
              <controlPr defaultSize="0" autoFill="0" autoLine="0" autoPict="0">
                <anchor moveWithCells="1">
                  <from>
                    <xdr:col>17</xdr:col>
                    <xdr:colOff>0</xdr:colOff>
                    <xdr:row>34</xdr:row>
                    <xdr:rowOff>0</xdr:rowOff>
                  </from>
                  <to>
                    <xdr:col>18</xdr:col>
                    <xdr:colOff>390525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Check Box 26">
              <controlPr defaultSize="0" autoFill="0" autoLine="0" autoPict="0">
                <anchor moveWithCells="1">
                  <from>
                    <xdr:col>17</xdr:col>
                    <xdr:colOff>0</xdr:colOff>
                    <xdr:row>35</xdr:row>
                    <xdr:rowOff>0</xdr:rowOff>
                  </from>
                  <to>
                    <xdr:col>18</xdr:col>
                    <xdr:colOff>390525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Check Box 27">
              <controlPr defaultSize="0" autoFill="0" autoLine="0" autoPict="0">
                <anchor moveWithCells="1">
                  <from>
                    <xdr:col>17</xdr:col>
                    <xdr:colOff>0</xdr:colOff>
                    <xdr:row>36</xdr:row>
                    <xdr:rowOff>0</xdr:rowOff>
                  </from>
                  <to>
                    <xdr:col>18</xdr:col>
                    <xdr:colOff>390525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Check Box 28">
              <controlPr defaultSize="0" autoFill="0" autoLine="0" autoPict="0">
                <anchor moveWithCells="1">
                  <from>
                    <xdr:col>17</xdr:col>
                    <xdr:colOff>0</xdr:colOff>
                    <xdr:row>36</xdr:row>
                    <xdr:rowOff>0</xdr:rowOff>
                  </from>
                  <to>
                    <xdr:col>18</xdr:col>
                    <xdr:colOff>390525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Check Box 29">
              <controlPr defaultSize="0" autoFill="0" autoLine="0" autoPict="0">
                <anchor mov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390525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Check Box 30">
              <controlPr defaultSize="0" autoFill="0" autoLine="0" autoPict="0">
                <anchor mov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390525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Check Box 31">
              <controlPr defaultSize="0" autoFill="0" autoLine="0" autoPict="0">
                <anchor moveWithCells="1">
                  <from>
                    <xdr:col>17</xdr:col>
                    <xdr:colOff>0</xdr:colOff>
                    <xdr:row>38</xdr:row>
                    <xdr:rowOff>0</xdr:rowOff>
                  </from>
                  <to>
                    <xdr:col>18</xdr:col>
                    <xdr:colOff>390525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Check Box 32">
              <controlPr defaultSize="0" autoFill="0" autoLine="0" autoPict="0">
                <anchor mov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390525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Check Box 33">
              <controlPr defaultSize="0" autoFill="0" autoLine="0" autoPict="0">
                <anchor moveWithCells="1">
                  <from>
                    <xdr:col>17</xdr:col>
                    <xdr:colOff>0</xdr:colOff>
                    <xdr:row>40</xdr:row>
                    <xdr:rowOff>0</xdr:rowOff>
                  </from>
                  <to>
                    <xdr:col>18</xdr:col>
                    <xdr:colOff>390525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Check Box 34">
              <controlPr defaultSize="0" autoFill="0" autoLine="0" autoPict="0">
                <anchor moveWithCells="1">
                  <from>
                    <xdr:col>17</xdr:col>
                    <xdr:colOff>0</xdr:colOff>
                    <xdr:row>40</xdr:row>
                    <xdr:rowOff>0</xdr:rowOff>
                  </from>
                  <to>
                    <xdr:col>18</xdr:col>
                    <xdr:colOff>390525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Check Box 35">
              <controlPr defaultSize="0" autoFill="0" autoLine="0" autoPict="0">
                <anchor moveWithCells="1">
                  <from>
                    <xdr:col>17</xdr:col>
                    <xdr:colOff>0</xdr:colOff>
                    <xdr:row>40</xdr:row>
                    <xdr:rowOff>0</xdr:rowOff>
                  </from>
                  <to>
                    <xdr:col>18</xdr:col>
                    <xdr:colOff>390525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Check Box 36">
              <controlPr defaultSize="0" autoFill="0" autoLine="0" autoPict="0">
                <anchor moveWithCells="1">
                  <from>
                    <xdr:col>17</xdr:col>
                    <xdr:colOff>0</xdr:colOff>
                    <xdr:row>46</xdr:row>
                    <xdr:rowOff>0</xdr:rowOff>
                  </from>
                  <to>
                    <xdr:col>18</xdr:col>
                    <xdr:colOff>390525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Check Box 37">
              <controlPr defaultSize="0" autoFill="0" autoLine="0" autoPict="0">
                <anchor moveWithCells="1">
                  <from>
                    <xdr:col>17</xdr:col>
                    <xdr:colOff>0</xdr:colOff>
                    <xdr:row>47</xdr:row>
                    <xdr:rowOff>0</xdr:rowOff>
                  </from>
                  <to>
                    <xdr:col>18</xdr:col>
                    <xdr:colOff>390525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Check Box 38">
              <controlPr defaultSize="0" autoFill="0" autoLine="0" autoPict="0">
                <anchor mov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390525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Check Box 39">
              <controlPr defaultSize="0" autoFill="0" autoLine="0" autoPict="0">
                <anchor moveWithCells="1">
                  <from>
                    <xdr:col>17</xdr:col>
                    <xdr:colOff>0</xdr:colOff>
                    <xdr:row>49</xdr:row>
                    <xdr:rowOff>0</xdr:rowOff>
                  </from>
                  <to>
                    <xdr:col>18</xdr:col>
                    <xdr:colOff>390525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Check Box 40">
              <controlPr defaultSize="0" autoFill="0" autoLine="0" autoPict="0">
                <anchor mov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390525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Check Box 41">
              <controlPr defaultSize="0" autoFill="0" autoLine="0" autoPict="0">
                <anchor mov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390525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Check Box 42">
              <controlPr defaultSize="0" autoFill="0" autoLine="0" autoPict="0">
                <anchor mov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390525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Check Box 43">
              <controlPr defaultSize="0" autoFill="0" autoLine="0" autoPict="0">
                <anchor moveWithCells="1">
                  <from>
                    <xdr:col>17</xdr:col>
                    <xdr:colOff>0</xdr:colOff>
                    <xdr:row>51</xdr:row>
                    <xdr:rowOff>0</xdr:rowOff>
                  </from>
                  <to>
                    <xdr:col>18</xdr:col>
                    <xdr:colOff>390525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Check Box 44">
              <controlPr defaultSize="0" autoFill="0" autoLine="0" autoPict="0">
                <anchor moveWithCells="1">
                  <from>
                    <xdr:col>17</xdr:col>
                    <xdr:colOff>0</xdr:colOff>
                    <xdr:row>52</xdr:row>
                    <xdr:rowOff>0</xdr:rowOff>
                  </from>
                  <to>
                    <xdr:col>18</xdr:col>
                    <xdr:colOff>390525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Check Box 45">
              <controlPr defaultSize="0" autoFill="0" autoLine="0" autoPict="0">
                <anchor moveWithCells="1">
                  <from>
                    <xdr:col>17</xdr:col>
                    <xdr:colOff>0</xdr:colOff>
                    <xdr:row>53</xdr:row>
                    <xdr:rowOff>0</xdr:rowOff>
                  </from>
                  <to>
                    <xdr:col>18</xdr:col>
                    <xdr:colOff>390525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Check Box 46">
              <controlPr defaultSize="0" autoFill="0" autoLine="0" autoPict="0">
                <anchor mov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390525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Check Box 47">
              <controlPr defaultSize="0" autoFill="0" autoLine="0" autoPict="0">
                <anchor mov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390525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Check Box 48">
              <controlPr defaultSize="0" autoFill="0" autoLine="0" autoPict="0">
                <anchor moveWithCells="1">
                  <from>
                    <xdr:col>17</xdr:col>
                    <xdr:colOff>0</xdr:colOff>
                    <xdr:row>56</xdr:row>
                    <xdr:rowOff>0</xdr:rowOff>
                  </from>
                  <to>
                    <xdr:col>18</xdr:col>
                    <xdr:colOff>390525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Check Box 49">
              <controlPr defaultSize="0" autoFill="0" autoLine="0" autoPict="0">
                <anchor moveWithCells="1">
                  <from>
                    <xdr:col>17</xdr:col>
                    <xdr:colOff>0</xdr:colOff>
                    <xdr:row>57</xdr:row>
                    <xdr:rowOff>0</xdr:rowOff>
                  </from>
                  <to>
                    <xdr:col>18</xdr:col>
                    <xdr:colOff>390525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Check Box 50">
              <controlPr defaultSize="0" autoFill="0" autoLine="0" autoPict="0">
                <anchor mov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390525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Check Box 51">
              <controlPr defaultSize="0" autoFill="0" autoLine="0" autoPict="0">
                <anchor moveWithCells="1">
                  <from>
                    <xdr:col>17</xdr:col>
                    <xdr:colOff>0</xdr:colOff>
                    <xdr:row>59</xdr:row>
                    <xdr:rowOff>0</xdr:rowOff>
                  </from>
                  <to>
                    <xdr:col>18</xdr:col>
                    <xdr:colOff>390525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Check Box 52">
              <controlPr defaultSize="0" autoFill="0" autoLine="0" autoPict="0">
                <anchor moveWithCells="1">
                  <from>
                    <xdr:col>17</xdr:col>
                    <xdr:colOff>0</xdr:colOff>
                    <xdr:row>60</xdr:row>
                    <xdr:rowOff>0</xdr:rowOff>
                  </from>
                  <to>
                    <xdr:col>18</xdr:col>
                    <xdr:colOff>390525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Check Box 53">
              <controlPr defaultSize="0" autoFill="0" autoLine="0" autoPict="0">
                <anchor moveWithCells="1">
                  <from>
                    <xdr:col>17</xdr:col>
                    <xdr:colOff>0</xdr:colOff>
                    <xdr:row>61</xdr:row>
                    <xdr:rowOff>0</xdr:rowOff>
                  </from>
                  <to>
                    <xdr:col>18</xdr:col>
                    <xdr:colOff>390525</xdr:colOff>
                    <xdr:row>62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Check Box 54">
              <controlPr defaultSize="0" autoFill="0" autoLine="0" autoPict="0">
                <anchor moveWithCells="1">
                  <from>
                    <xdr:col>17</xdr:col>
                    <xdr:colOff>0</xdr:colOff>
                    <xdr:row>62</xdr:row>
                    <xdr:rowOff>0</xdr:rowOff>
                  </from>
                  <to>
                    <xdr:col>18</xdr:col>
                    <xdr:colOff>390525</xdr:colOff>
                    <xdr:row>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58" name="Check Box 57">
              <controlPr defaultSize="0" autoFill="0" autoLine="0" autoPict="0">
                <anchor moveWithCells="1">
                  <from>
                    <xdr:col>17</xdr:col>
                    <xdr:colOff>0</xdr:colOff>
                    <xdr:row>63</xdr:row>
                    <xdr:rowOff>0</xdr:rowOff>
                  </from>
                  <to>
                    <xdr:col>18</xdr:col>
                    <xdr:colOff>390525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59" name="Check Box 58">
              <controlPr defaultSize="0" autoFill="0" autoLine="0" autoPict="0">
                <anchor moveWithCells="1">
                  <from>
                    <xdr:col>17</xdr:col>
                    <xdr:colOff>0</xdr:colOff>
                    <xdr:row>64</xdr:row>
                    <xdr:rowOff>0</xdr:rowOff>
                  </from>
                  <to>
                    <xdr:col>18</xdr:col>
                    <xdr:colOff>390525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0" name="Check Box 59">
              <controlPr defaultSize="0" autoFill="0" autoLine="0" autoPict="0">
                <anchor moveWithCells="1">
                  <from>
                    <xdr:col>17</xdr:col>
                    <xdr:colOff>0</xdr:colOff>
                    <xdr:row>65</xdr:row>
                    <xdr:rowOff>0</xdr:rowOff>
                  </from>
                  <to>
                    <xdr:col>18</xdr:col>
                    <xdr:colOff>390525</xdr:colOff>
                    <xdr:row>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1" name="Check Box 60">
              <controlPr defaultSize="0" autoFill="0" autoLine="0" autoPict="0">
                <anchor mov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390525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2" name="Check Box 61">
              <controlPr defaultSize="0" autoFill="0" autoLine="0" autoPict="0">
                <anchor mov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390525</xdr:colOff>
                    <xdr:row>68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3" name="Check Box 62">
              <controlPr defaultSize="0" autoFill="0" autoLine="0" autoPict="0">
                <anchor moveWithCells="1">
                  <from>
                    <xdr:col>17</xdr:col>
                    <xdr:colOff>0</xdr:colOff>
                    <xdr:row>68</xdr:row>
                    <xdr:rowOff>0</xdr:rowOff>
                  </from>
                  <to>
                    <xdr:col>18</xdr:col>
                    <xdr:colOff>390525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4" name="Check Box 63">
              <controlPr defaultSize="0" autoFill="0" autoLine="0" autoPict="0">
                <anchor mov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390525</xdr:colOff>
                    <xdr:row>70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5" name="Check Box 64">
              <controlPr defaultSize="0" autoFill="0" autoLine="0" autoPict="0">
                <anchor moveWithCells="1">
                  <from>
                    <xdr:col>17</xdr:col>
                    <xdr:colOff>0</xdr:colOff>
                    <xdr:row>70</xdr:row>
                    <xdr:rowOff>0</xdr:rowOff>
                  </from>
                  <to>
                    <xdr:col>18</xdr:col>
                    <xdr:colOff>390525</xdr:colOff>
                    <xdr:row>71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66" name="Check Box 72">
              <controlPr defaultSize="0" autoFill="0" autoLine="0" autoPict="0">
                <anchor moveWithCells="1">
                  <from>
                    <xdr:col>17</xdr:col>
                    <xdr:colOff>0</xdr:colOff>
                    <xdr:row>14</xdr:row>
                    <xdr:rowOff>0</xdr:rowOff>
                  </from>
                  <to>
                    <xdr:col>18</xdr:col>
                    <xdr:colOff>390525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67" name="Check Box 73">
              <controlPr defaultSize="0" autoFill="0" autoLine="0" autoPict="0">
                <anchor mov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390525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68" name="Check Box 74">
              <controlPr defaultSize="0" autoFill="0" autoLine="0" autoPict="0">
                <anchor moveWithCells="1">
                  <from>
                    <xdr:col>17</xdr:col>
                    <xdr:colOff>0</xdr:colOff>
                    <xdr:row>16</xdr:row>
                    <xdr:rowOff>0</xdr:rowOff>
                  </from>
                  <to>
                    <xdr:col>18</xdr:col>
                    <xdr:colOff>390525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69" name="Check Box 75">
              <controlPr defaultSize="0" autoFill="0" autoLine="0" autoPict="0">
                <anchor moveWithCells="1">
                  <from>
                    <xdr:col>17</xdr:col>
                    <xdr:colOff>0</xdr:colOff>
                    <xdr:row>17</xdr:row>
                    <xdr:rowOff>0</xdr:rowOff>
                  </from>
                  <to>
                    <xdr:col>18</xdr:col>
                    <xdr:colOff>390525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0" name="Check Box 76">
              <controlPr defaultSize="0" autoFill="0" autoLine="0" autoPict="0">
                <anchor mov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390525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71" name="Check Box 96">
              <controlPr defaultSize="0" autoFill="0" autoLine="0" autoPict="0">
                <anchor moveWithCells="1">
                  <from>
                    <xdr:col>16</xdr:col>
                    <xdr:colOff>790575</xdr:colOff>
                    <xdr:row>24</xdr:row>
                    <xdr:rowOff>180975</xdr:rowOff>
                  </from>
                  <to>
                    <xdr:col>18</xdr:col>
                    <xdr:colOff>390525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72" name="Check Box 97">
              <controlPr defaultSize="0" autoFill="0" autoLine="0" autoPict="0">
                <anchor moveWithCells="1">
                  <from>
                    <xdr:col>17</xdr:col>
                    <xdr:colOff>0</xdr:colOff>
                    <xdr:row>26</xdr:row>
                    <xdr:rowOff>0</xdr:rowOff>
                  </from>
                  <to>
                    <xdr:col>18</xdr:col>
                    <xdr:colOff>390525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73" name="Check Box 98">
              <controlPr defaultSize="0" autoFill="0" autoLine="0" autoPict="0">
                <anchor moveWithCells="1">
                  <from>
                    <xdr:col>17</xdr:col>
                    <xdr:colOff>0</xdr:colOff>
                    <xdr:row>27</xdr:row>
                    <xdr:rowOff>0</xdr:rowOff>
                  </from>
                  <to>
                    <xdr:col>18</xdr:col>
                    <xdr:colOff>390525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74" name="Check Box 99">
              <controlPr defaultSize="0" autoFill="0" autoLine="0" autoPict="0">
                <anchor mov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390525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75" name="Check Box 100">
              <controlPr defaultSize="0" autoFill="0" autoLine="0" autoPict="0">
                <anchor moveWithCells="1">
                  <from>
                    <xdr:col>17</xdr:col>
                    <xdr:colOff>0</xdr:colOff>
                    <xdr:row>19</xdr:row>
                    <xdr:rowOff>0</xdr:rowOff>
                  </from>
                  <to>
                    <xdr:col>18</xdr:col>
                    <xdr:colOff>390525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76" name="Check Box 101">
              <controlPr defaultSize="0" autoFill="0" autoLine="0" autoPict="0">
                <anchor moveWithCells="1">
                  <from>
                    <xdr:col>17</xdr:col>
                    <xdr:colOff>0</xdr:colOff>
                    <xdr:row>20</xdr:row>
                    <xdr:rowOff>0</xdr:rowOff>
                  </from>
                  <to>
                    <xdr:col>18</xdr:col>
                    <xdr:colOff>390525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77" name="Check Box 102">
              <controlPr defaultSize="0" autoFill="0" autoLine="0" autoPict="0">
                <anchor mov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390525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78" name="Check Box 103">
              <controlPr defaultSize="0" autoFill="0" autoLine="0" autoPict="0">
                <anchor moveWithCells="1">
                  <from>
                    <xdr:col>17</xdr:col>
                    <xdr:colOff>0</xdr:colOff>
                    <xdr:row>22</xdr:row>
                    <xdr:rowOff>0</xdr:rowOff>
                  </from>
                  <to>
                    <xdr:col>18</xdr:col>
                    <xdr:colOff>390525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79" name="Check Box 104">
              <controlPr defaultSize="0" autoFill="0" autoLine="0" autoPict="0">
                <anchor moveWithCells="1">
                  <from>
                    <xdr:col>17</xdr:col>
                    <xdr:colOff>0</xdr:colOff>
                    <xdr:row>23</xdr:row>
                    <xdr:rowOff>0</xdr:rowOff>
                  </from>
                  <to>
                    <xdr:col>18</xdr:col>
                    <xdr:colOff>390525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80" name="Check Box 105">
              <controlPr defaultSize="0" autoFill="0" autoLine="0" autoPict="0">
                <anchor moveWithCells="1">
                  <from>
                    <xdr:col>17</xdr:col>
                    <xdr:colOff>0</xdr:colOff>
                    <xdr:row>41</xdr:row>
                    <xdr:rowOff>0</xdr:rowOff>
                  </from>
                  <to>
                    <xdr:col>18</xdr:col>
                    <xdr:colOff>390525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81" name="Check Box 106">
              <controlPr defaultSize="0" autoFill="0" autoLine="0" autoPict="0">
                <anchor mov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390525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82" name="Check Box 107">
              <controlPr defaultSize="0" autoFill="0" autoLine="0" autoPict="0">
                <anchor moveWithCells="1">
                  <from>
                    <xdr:col>17</xdr:col>
                    <xdr:colOff>0</xdr:colOff>
                    <xdr:row>43</xdr:row>
                    <xdr:rowOff>0</xdr:rowOff>
                  </from>
                  <to>
                    <xdr:col>18</xdr:col>
                    <xdr:colOff>390525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83" name="Check Box 108">
              <controlPr defaultSize="0" autoFill="0" autoLine="0" autoPict="0">
                <anchor moveWithCells="1">
                  <from>
                    <xdr:col>17</xdr:col>
                    <xdr:colOff>0</xdr:colOff>
                    <xdr:row>44</xdr:row>
                    <xdr:rowOff>0</xdr:rowOff>
                  </from>
                  <to>
                    <xdr:col>18</xdr:col>
                    <xdr:colOff>390525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84" name="Check Box 109">
              <controlPr defaultSize="0" autoFill="0" autoLine="0" autoPict="0">
                <anchor mov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390525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85" name="Check Box 111">
              <controlPr defaultSize="0" autoFill="0" autoLine="0" autoPict="0">
                <anchor moveWithCells="1">
                  <from>
                    <xdr:col>17</xdr:col>
                    <xdr:colOff>0</xdr:colOff>
                    <xdr:row>7</xdr:row>
                    <xdr:rowOff>0</xdr:rowOff>
                  </from>
                  <to>
                    <xdr:col>18</xdr:col>
                    <xdr:colOff>390525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86" name="Check Box 112">
              <controlPr defaultSize="0" autoFill="0" autoLine="0" autoPict="0">
                <anchor moveWithCells="1">
                  <from>
                    <xdr:col>17</xdr:col>
                    <xdr:colOff>0</xdr:colOff>
                    <xdr:row>8</xdr:row>
                    <xdr:rowOff>0</xdr:rowOff>
                  </from>
                  <to>
                    <xdr:col>18</xdr:col>
                    <xdr:colOff>390525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87" name="Check Box 113">
              <controlPr defaultSize="0" autoFill="0" autoLine="0" autoPict="0">
                <anchor moveWithCells="1">
                  <from>
                    <xdr:col>17</xdr:col>
                    <xdr:colOff>0</xdr:colOff>
                    <xdr:row>9</xdr:row>
                    <xdr:rowOff>0</xdr:rowOff>
                  </from>
                  <to>
                    <xdr:col>18</xdr:col>
                    <xdr:colOff>390525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88" name="Check Box 114">
              <controlPr defaultSize="0" autoFill="0" autoLine="0" autoPict="0">
                <anchor moveWithCells="1">
                  <from>
                    <xdr:col>17</xdr:col>
                    <xdr:colOff>0</xdr:colOff>
                    <xdr:row>10</xdr:row>
                    <xdr:rowOff>0</xdr:rowOff>
                  </from>
                  <to>
                    <xdr:col>18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89" name="Check Box 115">
              <controlPr defaultSize="0" autoFill="0" autoLine="0" autoPict="0">
                <anchor moveWithCells="1">
                  <from>
                    <xdr:col>17</xdr:col>
                    <xdr:colOff>0</xdr:colOff>
                    <xdr:row>11</xdr:row>
                    <xdr:rowOff>0</xdr:rowOff>
                  </from>
                  <to>
                    <xdr:col>18</xdr:col>
                    <xdr:colOff>390525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90" name="Check Box 116">
              <controlPr defaultSize="0" autoFill="0" autoLine="0" autoPict="0">
                <anchor mov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390525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91" name="Check Box 117">
              <controlPr defaultSize="0" autoFill="0" autoLine="0" autoPict="0">
                <anchor moveWithCells="1">
                  <from>
                    <xdr:col>17</xdr:col>
                    <xdr:colOff>0</xdr:colOff>
                    <xdr:row>13</xdr:row>
                    <xdr:rowOff>0</xdr:rowOff>
                  </from>
                  <to>
                    <xdr:col>18</xdr:col>
                    <xdr:colOff>390525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92" name="Check Box 118">
              <controlPr defaultSize="0" autoFill="0" autoLine="0" autoPict="0">
                <anchor mov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390525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93" name="Check Box 119">
              <controlPr defaultSize="0" autoFill="0" autoLine="0" autoPict="0">
                <anchor mov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390525</xdr:colOff>
                    <xdr:row>73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94" name="Check Box 120">
              <controlPr defaultSize="0" autoFill="0" autoLine="0" autoPict="0">
                <anchor moveWithCells="1">
                  <from>
                    <xdr:col>17</xdr:col>
                    <xdr:colOff>0</xdr:colOff>
                    <xdr:row>73</xdr:row>
                    <xdr:rowOff>0</xdr:rowOff>
                  </from>
                  <to>
                    <xdr:col>18</xdr:col>
                    <xdr:colOff>390525</xdr:colOff>
                    <xdr:row>74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95" name="Check Box 121">
              <controlPr defaultSize="0" autoFill="0" autoLine="0" autoPict="0">
                <anchor moveWithCells="1">
                  <from>
                    <xdr:col>12</xdr:col>
                    <xdr:colOff>0</xdr:colOff>
                    <xdr:row>74</xdr:row>
                    <xdr:rowOff>0</xdr:rowOff>
                  </from>
                  <to>
                    <xdr:col>18</xdr:col>
                    <xdr:colOff>0</xdr:colOff>
                    <xdr:row>75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96" name="Check Box 122">
              <controlPr defaultSize="0" autoFill="0" autoLine="0" autoPict="0">
                <anchor moveWithCells="1">
                  <from>
                    <xdr:col>12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97" name="Check Box 132">
              <controlPr defaultSize="0" autoFill="0" autoLine="0" autoPict="0">
                <anchor moveWithCells="1">
                  <from>
                    <xdr:col>12</xdr:col>
                    <xdr:colOff>0</xdr:colOff>
                    <xdr:row>84</xdr:row>
                    <xdr:rowOff>161925</xdr:rowOff>
                  </from>
                  <to>
                    <xdr:col>18</xdr:col>
                    <xdr:colOff>0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98" name="Check Box 133">
              <controlPr defaultSize="0" autoFill="0" autoLine="0" autoPict="0">
                <anchor moveWithCells="1">
                  <from>
                    <xdr:col>12</xdr:col>
                    <xdr:colOff>0</xdr:colOff>
                    <xdr:row>86</xdr:row>
                    <xdr:rowOff>0</xdr:rowOff>
                  </from>
                  <to>
                    <xdr:col>18</xdr:col>
                    <xdr:colOff>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99" name="Check Box 134">
              <controlPr defaultSize="0" autoFill="0" autoLine="0" autoPict="0">
                <anchor moveWithCells="1">
                  <from>
                    <xdr:col>12</xdr:col>
                    <xdr:colOff>0</xdr:colOff>
                    <xdr:row>87</xdr:row>
                    <xdr:rowOff>0</xdr:rowOff>
                  </from>
                  <to>
                    <xdr:col>18</xdr:col>
                    <xdr:colOff>0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00" name="Check Box 135">
              <controlPr defaultSize="0" autoFill="0" autoLine="0" autoPict="0">
                <anchor moveWithCells="1">
                  <from>
                    <xdr:col>12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89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01" name="Check Box 136">
              <controlPr defaultSize="0" autoFill="0" autoLine="0" autoPict="0">
                <anchor moveWithCells="1">
                  <from>
                    <xdr:col>12</xdr:col>
                    <xdr:colOff>0</xdr:colOff>
                    <xdr:row>89</xdr:row>
                    <xdr:rowOff>0</xdr:rowOff>
                  </from>
                  <to>
                    <xdr:col>18</xdr:col>
                    <xdr:colOff>0</xdr:colOff>
                    <xdr:row>90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02" name="Check Box 137">
              <controlPr defaultSize="0" autoFill="0" autoLine="0" autoPict="0">
                <anchor moveWithCells="1">
                  <from>
                    <xdr:col>12</xdr:col>
                    <xdr:colOff>0</xdr:colOff>
                    <xdr:row>90</xdr:row>
                    <xdr:rowOff>0</xdr:rowOff>
                  </from>
                  <to>
                    <xdr:col>18</xdr:col>
                    <xdr:colOff>0</xdr:colOff>
                    <xdr:row>91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03" name="Check Box 138">
              <controlPr defaultSize="0" autoFill="0" autoLine="0" autoPict="0">
                <anchor moveWithCells="1">
                  <from>
                    <xdr:col>12</xdr:col>
                    <xdr:colOff>0</xdr:colOff>
                    <xdr:row>91</xdr:row>
                    <xdr:rowOff>0</xdr:rowOff>
                  </from>
                  <to>
                    <xdr:col>18</xdr:col>
                    <xdr:colOff>0</xdr:colOff>
                    <xdr:row>92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04" name="Check Box 139">
              <controlPr defaultSize="0" autoFill="0" autoLine="0" autoPict="0">
                <anchor moveWithCells="1">
                  <from>
                    <xdr:col>12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05" name="Check Box 140">
              <controlPr defaultSize="0" autoFill="0" autoLine="0" autoPict="0">
                <anchor moveWithCells="1">
                  <from>
                    <xdr:col>12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9" r:id="rId106" name="Check Box 141">
              <controlPr defaultSize="0" autoFill="0" autoLine="0" autoPict="0">
                <anchor moveWithCells="1">
                  <from>
                    <xdr:col>12</xdr:col>
                    <xdr:colOff>0</xdr:colOff>
                    <xdr:row>94</xdr:row>
                    <xdr:rowOff>0</xdr:rowOff>
                  </from>
                  <to>
                    <xdr:col>18</xdr:col>
                    <xdr:colOff>0</xdr:colOff>
                    <xdr:row>95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0" r:id="rId107" name="Check Box 142">
              <controlPr defaultSize="0" autoFill="0" autoLine="0" autoPict="0">
                <anchor moveWithCells="1">
                  <from>
                    <xdr:col>12</xdr:col>
                    <xdr:colOff>0</xdr:colOff>
                    <xdr:row>95</xdr:row>
                    <xdr:rowOff>0</xdr:rowOff>
                  </from>
                  <to>
                    <xdr:col>18</xdr:col>
                    <xdr:colOff>0</xdr:colOff>
                    <xdr:row>96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1" r:id="rId108" name="Check Box 143">
              <controlPr defaultSize="0" autoFill="0" autoLine="0" autoPict="0">
                <anchor moveWithCells="1">
                  <from>
                    <xdr:col>12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2" r:id="rId109" name="Check Box 144">
              <controlPr defaultSize="0" autoFill="0" autoLine="0" autoPict="0">
                <anchor moveWithCells="1">
                  <from>
                    <xdr:col>12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98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3" r:id="rId110" name="Check Box 145">
              <controlPr defaultSize="0" autoFill="0" autoLine="0" autoPict="0">
                <anchor moveWithCells="1">
                  <from>
                    <xdr:col>12</xdr:col>
                    <xdr:colOff>0</xdr:colOff>
                    <xdr:row>98</xdr:row>
                    <xdr:rowOff>0</xdr:rowOff>
                  </from>
                  <to>
                    <xdr:col>18</xdr:col>
                    <xdr:colOff>0</xdr:colOff>
                    <xdr:row>99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4" r:id="rId111" name="Check Box 146">
              <controlPr defaultSize="0" autoFill="0" autoLine="0" autoPict="0">
                <anchor moveWithCells="1">
                  <from>
                    <xdr:col>12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5" r:id="rId112" name="Check Box 147">
              <controlPr defaultSize="0" autoFill="0" autoLine="0" autoPict="0">
                <anchor moveWithCells="1">
                  <from>
                    <xdr:col>12</xdr:col>
                    <xdr:colOff>0</xdr:colOff>
                    <xdr:row>100</xdr:row>
                    <xdr:rowOff>0</xdr:rowOff>
                  </from>
                  <to>
                    <xdr:col>18</xdr:col>
                    <xdr:colOff>0</xdr:colOff>
                    <xdr:row>101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6" r:id="rId113" name="Check Box 148">
              <controlPr defaultSize="0" autoFill="0" autoLine="0" autoPict="0">
                <anchor moveWithCells="1">
                  <from>
                    <xdr:col>12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7" r:id="rId114" name="Check Box 149">
              <controlPr defaultSize="0" autoFill="0" autoLine="0" autoPict="0">
                <anchor moveWithCells="1">
                  <from>
                    <xdr:col>12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8" r:id="rId115" name="Check Box 150">
              <controlPr defaultSize="0" autoFill="0" autoLine="0" autoPict="0">
                <anchor moveWithCells="1">
                  <from>
                    <xdr:col>12</xdr:col>
                    <xdr:colOff>0</xdr:colOff>
                    <xdr:row>103</xdr:row>
                    <xdr:rowOff>0</xdr:rowOff>
                  </from>
                  <to>
                    <xdr:col>18</xdr:col>
                    <xdr:colOff>0</xdr:colOff>
                    <xdr:row>104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9" r:id="rId116" name="Check Box 151">
              <controlPr defaultSize="0" autoFill="0" autoLine="0" autoPict="0">
                <anchor moveWithCells="1">
                  <from>
                    <xdr:col>12</xdr:col>
                    <xdr:colOff>0</xdr:colOff>
                    <xdr:row>104</xdr:row>
                    <xdr:rowOff>0</xdr:rowOff>
                  </from>
                  <to>
                    <xdr:col>18</xdr:col>
                    <xdr:colOff>0</xdr:colOff>
                    <xdr:row>105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0" r:id="rId117" name="Check Box 152">
              <controlPr defaultSize="0" autoFill="0" autoLine="0" autoPict="0">
                <anchor moveWithCells="1">
                  <from>
                    <xdr:col>12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1" r:id="rId118" name="Check Box 153">
              <controlPr defaultSize="0" autoFill="0" autoLine="0" autoPict="0">
                <anchor moveWithCells="1">
                  <from>
                    <xdr:col>12</xdr:col>
                    <xdr:colOff>0</xdr:colOff>
                    <xdr:row>106</xdr:row>
                    <xdr:rowOff>0</xdr:rowOff>
                  </from>
                  <to>
                    <xdr:col>18</xdr:col>
                    <xdr:colOff>0</xdr:colOff>
                    <xdr:row>107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2" r:id="rId119" name="Check Box 154">
              <controlPr defaultSize="0" autoFill="0" autoLine="0" autoPict="0">
                <anchor moveWithCells="1">
                  <from>
                    <xdr:col>12</xdr:col>
                    <xdr:colOff>0</xdr:colOff>
                    <xdr:row>107</xdr:row>
                    <xdr:rowOff>0</xdr:rowOff>
                  </from>
                  <to>
                    <xdr:col>18</xdr:col>
                    <xdr:colOff>0</xdr:colOff>
                    <xdr:row>108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3" r:id="rId120" name="Check Box 155">
              <controlPr defaultSize="0" autoFill="0" autoLine="0" autoPict="0">
                <anchor moveWithCells="1">
                  <from>
                    <xdr:col>12</xdr:col>
                    <xdr:colOff>0</xdr:colOff>
                    <xdr:row>108</xdr:row>
                    <xdr:rowOff>0</xdr:rowOff>
                  </from>
                  <to>
                    <xdr:col>18</xdr:col>
                    <xdr:colOff>0</xdr:colOff>
                    <xdr:row>109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4" r:id="rId121" name="Check Box 156">
              <controlPr defaultSize="0" autoFill="0" autoLine="0" autoPict="0">
                <anchor moveWithCells="1">
                  <from>
                    <xdr:col>12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5" r:id="rId122" name="Check Box 157">
              <controlPr defaultSize="0" autoFill="0" autoLine="0" autoPict="0">
                <anchor moveWithCells="1">
                  <from>
                    <xdr:col>12</xdr:col>
                    <xdr:colOff>0</xdr:colOff>
                    <xdr:row>110</xdr:row>
                    <xdr:rowOff>0</xdr:rowOff>
                  </from>
                  <to>
                    <xdr:col>18</xdr:col>
                    <xdr:colOff>0</xdr:colOff>
                    <xdr:row>111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6" r:id="rId123" name="Check Box 158">
              <controlPr defaultSize="0" autoFill="0" autoLine="0" autoPict="0">
                <anchor moveWithCells="1">
                  <from>
                    <xdr:col>12</xdr:col>
                    <xdr:colOff>0</xdr:colOff>
                    <xdr:row>111</xdr:row>
                    <xdr:rowOff>0</xdr:rowOff>
                  </from>
                  <to>
                    <xdr:col>18</xdr:col>
                    <xdr:colOff>0</xdr:colOff>
                    <xdr:row>112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7" r:id="rId124" name="Check Box 159">
              <controlPr defaultSize="0" autoFill="0" autoLine="0" autoPict="0">
                <anchor moveWithCells="1">
                  <from>
                    <xdr:col>12</xdr:col>
                    <xdr:colOff>0</xdr:colOff>
                    <xdr:row>112</xdr:row>
                    <xdr:rowOff>0</xdr:rowOff>
                  </from>
                  <to>
                    <xdr:col>18</xdr:col>
                    <xdr:colOff>0</xdr:colOff>
                    <xdr:row>113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8" r:id="rId125" name="Check Box 160">
              <controlPr defaultSize="0" autoFill="0" autoLine="0" autoPict="0">
                <anchor moveWithCells="1">
                  <from>
                    <xdr:col>12</xdr:col>
                    <xdr:colOff>0</xdr:colOff>
                    <xdr:row>113</xdr:row>
                    <xdr:rowOff>0</xdr:rowOff>
                  </from>
                  <to>
                    <xdr:col>18</xdr:col>
                    <xdr:colOff>0</xdr:colOff>
                    <xdr:row>114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9" r:id="rId126" name="Check Box 161">
              <controlPr defaultSize="0" autoFill="0" autoLine="0" autoPict="0">
                <anchor moveWithCells="1">
                  <from>
                    <xdr:col>12</xdr:col>
                    <xdr:colOff>0</xdr:colOff>
                    <xdr:row>114</xdr:row>
                    <xdr:rowOff>0</xdr:rowOff>
                  </from>
                  <to>
                    <xdr:col>18</xdr:col>
                    <xdr:colOff>0</xdr:colOff>
                    <xdr:row>115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0" r:id="rId127" name="Check Box 162">
              <controlPr defaultSize="0" autoFill="0" autoLine="0" autoPict="0">
                <anchor moveWithCells="1">
                  <from>
                    <xdr:col>12</xdr:col>
                    <xdr:colOff>0</xdr:colOff>
                    <xdr:row>115</xdr:row>
                    <xdr:rowOff>0</xdr:rowOff>
                  </from>
                  <to>
                    <xdr:col>18</xdr:col>
                    <xdr:colOff>0</xdr:colOff>
                    <xdr:row>116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1" r:id="rId128" name="Check Box 163">
              <controlPr defaultSize="0" autoFill="0" autoLine="0" autoPict="0">
                <anchor moveWithCells="1">
                  <from>
                    <xdr:col>12</xdr:col>
                    <xdr:colOff>0</xdr:colOff>
                    <xdr:row>116</xdr:row>
                    <xdr:rowOff>0</xdr:rowOff>
                  </from>
                  <to>
                    <xdr:col>18</xdr:col>
                    <xdr:colOff>0</xdr:colOff>
                    <xdr:row>117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2" r:id="rId129" name="Check Box 164">
              <controlPr defaultSize="0" autoFill="0" autoLine="0" autoPict="0">
                <anchor moveWithCells="1">
                  <from>
                    <xdr:col>12</xdr:col>
                    <xdr:colOff>0</xdr:colOff>
                    <xdr:row>117</xdr:row>
                    <xdr:rowOff>0</xdr:rowOff>
                  </from>
                  <to>
                    <xdr:col>18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3" r:id="rId130" name="Check Box 165">
              <controlPr defaultSize="0" autoFill="0" autoLine="0" autoPict="0">
                <anchor moveWithCells="1">
                  <from>
                    <xdr:col>12</xdr:col>
                    <xdr:colOff>0</xdr:colOff>
                    <xdr:row>118</xdr:row>
                    <xdr:rowOff>0</xdr:rowOff>
                  </from>
                  <to>
                    <xdr:col>18</xdr:col>
                    <xdr:colOff>0</xdr:colOff>
                    <xdr:row>119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4" r:id="rId131" name="Check Box 166">
              <controlPr defaultSize="0" autoFill="0" autoLine="0" autoPict="0">
                <anchor moveWithCells="1">
                  <from>
                    <xdr:col>12</xdr:col>
                    <xdr:colOff>0</xdr:colOff>
                    <xdr:row>119</xdr:row>
                    <xdr:rowOff>0</xdr:rowOff>
                  </from>
                  <to>
                    <xdr:col>18</xdr:col>
                    <xdr:colOff>0</xdr:colOff>
                    <xdr:row>120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5" r:id="rId132" name="Check Box 167">
              <controlPr defaultSize="0" autoFill="0" autoLine="0" autoPict="0">
                <anchor moveWithCells="1">
                  <from>
                    <xdr:col>12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6" r:id="rId133" name="Check Box 168">
              <controlPr defaultSize="0" autoFill="0" autoLine="0" autoPict="0">
                <anchor moveWithCells="1">
                  <from>
                    <xdr:col>12</xdr:col>
                    <xdr:colOff>0</xdr:colOff>
                    <xdr:row>121</xdr:row>
                    <xdr:rowOff>0</xdr:rowOff>
                  </from>
                  <to>
                    <xdr:col>18</xdr:col>
                    <xdr:colOff>0</xdr:colOff>
                    <xdr:row>122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7" r:id="rId134" name="Check Box 169">
              <controlPr defaultSize="0" autoFill="0" autoLine="0" autoPict="0">
                <anchor moveWithCells="1">
                  <from>
                    <xdr:col>12</xdr:col>
                    <xdr:colOff>0</xdr:colOff>
                    <xdr:row>122</xdr:row>
                    <xdr:rowOff>0</xdr:rowOff>
                  </from>
                  <to>
                    <xdr:col>18</xdr:col>
                    <xdr:colOff>0</xdr:colOff>
                    <xdr:row>123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8" r:id="rId135" name="Check Box 170">
              <controlPr defaultSize="0" autoFill="0" autoLine="0" autoPict="0">
                <anchor moveWithCells="1">
                  <from>
                    <xdr:col>12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9" r:id="rId136" name="Check Box 171">
              <controlPr defaultSize="0" autoFill="0" autoLine="0" autoPict="0">
                <anchor moveWithCells="1">
                  <from>
                    <xdr:col>12</xdr:col>
                    <xdr:colOff>0</xdr:colOff>
                    <xdr:row>124</xdr:row>
                    <xdr:rowOff>0</xdr:rowOff>
                  </from>
                  <to>
                    <xdr:col>18</xdr:col>
                    <xdr:colOff>0</xdr:colOff>
                    <xdr:row>125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0" r:id="rId137" name="Check Box 172">
              <controlPr defaultSize="0" autoFill="0" autoLine="0" autoPict="0">
                <anchor moveWithCells="1">
                  <from>
                    <xdr:col>12</xdr:col>
                    <xdr:colOff>0</xdr:colOff>
                    <xdr:row>125</xdr:row>
                    <xdr:rowOff>0</xdr:rowOff>
                  </from>
                  <to>
                    <xdr:col>18</xdr:col>
                    <xdr:colOff>0</xdr:colOff>
                    <xdr:row>126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1" r:id="rId138" name="Check Box 173">
              <controlPr defaultSize="0" autoFill="0" autoLine="0" autoPict="0">
                <anchor moveWithCells="1">
                  <from>
                    <xdr:col>12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2" r:id="rId139" name="Check Box 174">
              <controlPr defaultSize="0" autoFill="0" autoLine="0" autoPict="0">
                <anchor moveWithCells="1">
                  <from>
                    <xdr:col>12</xdr:col>
                    <xdr:colOff>0</xdr:colOff>
                    <xdr:row>127</xdr:row>
                    <xdr:rowOff>0</xdr:rowOff>
                  </from>
                  <to>
                    <xdr:col>18</xdr:col>
                    <xdr:colOff>0</xdr:colOff>
                    <xdr:row>128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3" r:id="rId140" name="Check Box 175">
              <controlPr defaultSize="0" autoFill="0" autoLine="0" autoPict="0">
                <anchor moveWithCells="1">
                  <from>
                    <xdr:col>12</xdr:col>
                    <xdr:colOff>0</xdr:colOff>
                    <xdr:row>128</xdr:row>
                    <xdr:rowOff>0</xdr:rowOff>
                  </from>
                  <to>
                    <xdr:col>18</xdr:col>
                    <xdr:colOff>0</xdr:colOff>
                    <xdr:row>129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4" r:id="rId141" name="Check Box 176">
              <controlPr defaultSize="0" autoFill="0" autoLine="0" autoPict="0">
                <anchor moveWithCells="1">
                  <from>
                    <xdr:col>12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5" r:id="rId142" name="Check Box 177">
              <controlPr defaultSize="0" autoFill="0" autoLine="0" autoPict="0">
                <anchor moveWithCells="1">
                  <from>
                    <xdr:col>12</xdr:col>
                    <xdr:colOff>0</xdr:colOff>
                    <xdr:row>130</xdr:row>
                    <xdr:rowOff>0</xdr:rowOff>
                  </from>
                  <to>
                    <xdr:col>18</xdr:col>
                    <xdr:colOff>0</xdr:colOff>
                    <xdr:row>131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6" r:id="rId143" name="Check Box 178">
              <controlPr defaultSize="0" autoFill="0" autoLine="0" autoPict="0">
                <anchor moveWithCells="1">
                  <from>
                    <xdr:col>12</xdr:col>
                    <xdr:colOff>0</xdr:colOff>
                    <xdr:row>131</xdr:row>
                    <xdr:rowOff>0</xdr:rowOff>
                  </from>
                  <to>
                    <xdr:col>18</xdr:col>
                    <xdr:colOff>0</xdr:colOff>
                    <xdr:row>132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7" r:id="rId144" name="Check Box 179">
              <controlPr defaultSize="0" autoFill="0" autoLine="0" autoPict="0">
                <anchor moveWithCells="1">
                  <from>
                    <xdr:col>12</xdr:col>
                    <xdr:colOff>0</xdr:colOff>
                    <xdr:row>132</xdr:row>
                    <xdr:rowOff>0</xdr:rowOff>
                  </from>
                  <to>
                    <xdr:col>18</xdr:col>
                    <xdr:colOff>0</xdr:colOff>
                    <xdr:row>133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8" r:id="rId145" name="Check Box 180">
              <controlPr defaultSize="0" autoFill="0" autoLine="0" autoPict="0">
                <anchor moveWithCells="1">
                  <from>
                    <xdr:col>12</xdr:col>
                    <xdr:colOff>0</xdr:colOff>
                    <xdr:row>133</xdr:row>
                    <xdr:rowOff>0</xdr:rowOff>
                  </from>
                  <to>
                    <xdr:col>18</xdr:col>
                    <xdr:colOff>0</xdr:colOff>
                    <xdr:row>134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9" r:id="rId146" name="Check Box 181">
              <controlPr defaultSize="0" autoFill="0" autoLine="0" autoPict="0">
                <anchor moveWithCells="1">
                  <from>
                    <xdr:col>12</xdr:col>
                    <xdr:colOff>0</xdr:colOff>
                    <xdr:row>134</xdr:row>
                    <xdr:rowOff>0</xdr:rowOff>
                  </from>
                  <to>
                    <xdr:col>18</xdr:col>
                    <xdr:colOff>0</xdr:colOff>
                    <xdr:row>135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0" r:id="rId147" name="Check Box 182">
              <controlPr defaultSize="0" autoFill="0" autoLine="0" autoPict="0">
                <anchor moveWithCells="1">
                  <from>
                    <xdr:col>12</xdr:col>
                    <xdr:colOff>0</xdr:colOff>
                    <xdr:row>135</xdr:row>
                    <xdr:rowOff>0</xdr:rowOff>
                  </from>
                  <to>
                    <xdr:col>18</xdr:col>
                    <xdr:colOff>0</xdr:colOff>
                    <xdr:row>136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1" r:id="rId148" name="Check Box 183">
              <controlPr defaultSize="0" autoFill="0" autoLine="0" autoPict="0">
                <anchor moveWithCells="1">
                  <from>
                    <xdr:col>12</xdr:col>
                    <xdr:colOff>0</xdr:colOff>
                    <xdr:row>136</xdr:row>
                    <xdr:rowOff>0</xdr:rowOff>
                  </from>
                  <to>
                    <xdr:col>18</xdr:col>
                    <xdr:colOff>0</xdr:colOff>
                    <xdr:row>137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2" r:id="rId149" name="Check Box 184">
              <controlPr defaultSize="0" autoFill="0" autoLine="0" autoPict="0">
                <anchor moveWithCells="1">
                  <from>
                    <xdr:col>12</xdr:col>
                    <xdr:colOff>0</xdr:colOff>
                    <xdr:row>137</xdr:row>
                    <xdr:rowOff>0</xdr:rowOff>
                  </from>
                  <to>
                    <xdr:col>18</xdr:col>
                    <xdr:colOff>0</xdr:colOff>
                    <xdr:row>138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3" r:id="rId150" name="Check Box 185">
              <controlPr defaultSize="0" autoFill="0" autoLine="0" autoPict="0">
                <anchor moveWithCells="1">
                  <from>
                    <xdr:col>12</xdr:col>
                    <xdr:colOff>0</xdr:colOff>
                    <xdr:row>138</xdr:row>
                    <xdr:rowOff>0</xdr:rowOff>
                  </from>
                  <to>
                    <xdr:col>18</xdr:col>
                    <xdr:colOff>0</xdr:colOff>
                    <xdr:row>139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4" r:id="rId151" name="Check Box 186">
              <controlPr defaultSize="0" autoFill="0" autoLine="0" autoPict="0">
                <anchor moveWithCells="1">
                  <from>
                    <xdr:col>12</xdr:col>
                    <xdr:colOff>0</xdr:colOff>
                    <xdr:row>139</xdr:row>
                    <xdr:rowOff>0</xdr:rowOff>
                  </from>
                  <to>
                    <xdr:col>18</xdr:col>
                    <xdr:colOff>0</xdr:colOff>
                    <xdr:row>140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5" r:id="rId152" name="Check Box 187">
              <controlPr defaultSize="0" autoFill="0" autoLine="0" autoPict="0">
                <anchor moveWithCells="1">
                  <from>
                    <xdr:col>12</xdr:col>
                    <xdr:colOff>0</xdr:colOff>
                    <xdr:row>140</xdr:row>
                    <xdr:rowOff>0</xdr:rowOff>
                  </from>
                  <to>
                    <xdr:col>18</xdr:col>
                    <xdr:colOff>0</xdr:colOff>
                    <xdr:row>141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6" r:id="rId153" name="Check Box 188">
              <controlPr defaultSize="0" autoFill="0" autoLine="0" autoPict="0">
                <anchor moveWithCells="1">
                  <from>
                    <xdr:col>12</xdr:col>
                    <xdr:colOff>0</xdr:colOff>
                    <xdr:row>141</xdr:row>
                    <xdr:rowOff>0</xdr:rowOff>
                  </from>
                  <to>
                    <xdr:col>18</xdr:col>
                    <xdr:colOff>0</xdr:colOff>
                    <xdr:row>142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7" r:id="rId154" name="Check Box 189">
              <controlPr defaultSize="0" autoFill="0" autoLine="0" autoPict="0">
                <anchor moveWithCells="1">
                  <from>
                    <xdr:col>12</xdr:col>
                    <xdr:colOff>0</xdr:colOff>
                    <xdr:row>142</xdr:row>
                    <xdr:rowOff>0</xdr:rowOff>
                  </from>
                  <to>
                    <xdr:col>18</xdr:col>
                    <xdr:colOff>0</xdr:colOff>
                    <xdr:row>143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8" r:id="rId155" name="Check Box 190">
              <controlPr defaultSize="0" autoFill="0" autoLine="0" autoPict="0">
                <anchor moveWithCells="1">
                  <from>
                    <xdr:col>12</xdr:col>
                    <xdr:colOff>0</xdr:colOff>
                    <xdr:row>143</xdr:row>
                    <xdr:rowOff>0</xdr:rowOff>
                  </from>
                  <to>
                    <xdr:col>18</xdr:col>
                    <xdr:colOff>0</xdr:colOff>
                    <xdr:row>144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9" r:id="rId156" name="Check Box 191">
              <controlPr defaultSize="0" autoFill="0" autoLine="0" autoPict="0">
                <anchor moveWithCells="1">
                  <from>
                    <xdr:col>12</xdr:col>
                    <xdr:colOff>0</xdr:colOff>
                    <xdr:row>144</xdr:row>
                    <xdr:rowOff>0</xdr:rowOff>
                  </from>
                  <to>
                    <xdr:col>18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0" r:id="rId157" name="Check Box 192">
              <controlPr defaultSize="0" autoFill="0" autoLine="0" autoPict="0">
                <anchor moveWithCells="1">
                  <from>
                    <xdr:col>12</xdr:col>
                    <xdr:colOff>0</xdr:colOff>
                    <xdr:row>145</xdr:row>
                    <xdr:rowOff>0</xdr:rowOff>
                  </from>
                  <to>
                    <xdr:col>18</xdr:col>
                    <xdr:colOff>0</xdr:colOff>
                    <xdr:row>146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1" r:id="rId158" name="Check Box 193">
              <controlPr defaultSize="0" autoFill="0" autoLine="0" autoPict="0">
                <anchor moveWithCells="1">
                  <from>
                    <xdr:col>12</xdr:col>
                    <xdr:colOff>0</xdr:colOff>
                    <xdr:row>146</xdr:row>
                    <xdr:rowOff>0</xdr:rowOff>
                  </from>
                  <to>
                    <xdr:col>18</xdr:col>
                    <xdr:colOff>0</xdr:colOff>
                    <xdr:row>147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2" r:id="rId159" name="Check Box 194">
              <controlPr defaultSize="0" autoFill="0" autoLine="0" autoPict="0">
                <anchor moveWithCells="1">
                  <from>
                    <xdr:col>12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3" r:id="rId160" name="Check Box 195">
              <controlPr defaultSize="0" autoFill="0" autoLine="0" autoPict="0">
                <anchor moveWithCells="1">
                  <from>
                    <xdr:col>12</xdr:col>
                    <xdr:colOff>0</xdr:colOff>
                    <xdr:row>148</xdr:row>
                    <xdr:rowOff>0</xdr:rowOff>
                  </from>
                  <to>
                    <xdr:col>18</xdr:col>
                    <xdr:colOff>0</xdr:colOff>
                    <xdr:row>149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4" r:id="rId161" name="Check Box 196">
              <controlPr defaultSize="0" autoFill="0" autoLine="0" autoPict="0">
                <anchor moveWithCells="1">
                  <from>
                    <xdr:col>12</xdr:col>
                    <xdr:colOff>0</xdr:colOff>
                    <xdr:row>149</xdr:row>
                    <xdr:rowOff>0</xdr:rowOff>
                  </from>
                  <to>
                    <xdr:col>18</xdr:col>
                    <xdr:colOff>0</xdr:colOff>
                    <xdr:row>150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5" r:id="rId162" name="Check Box 197">
              <controlPr defaultSize="0" autoFill="0" autoLine="0" autoPict="0">
                <anchor moveWithCells="1">
                  <from>
                    <xdr:col>12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6" r:id="rId163" name="Check Box 198">
              <controlPr defaultSize="0" autoFill="0" autoLine="0" autoPict="0">
                <anchor moveWithCells="1">
                  <from>
                    <xdr:col>12</xdr:col>
                    <xdr:colOff>0</xdr:colOff>
                    <xdr:row>151</xdr:row>
                    <xdr:rowOff>0</xdr:rowOff>
                  </from>
                  <to>
                    <xdr:col>18</xdr:col>
                    <xdr:colOff>0</xdr:colOff>
                    <xdr:row>152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7" r:id="rId164" name="Check Box 199">
              <controlPr defaultSize="0" autoFill="0" autoLine="0" autoPict="0">
                <anchor moveWithCells="1">
                  <from>
                    <xdr:col>12</xdr:col>
                    <xdr:colOff>0</xdr:colOff>
                    <xdr:row>152</xdr:row>
                    <xdr:rowOff>0</xdr:rowOff>
                  </from>
                  <to>
                    <xdr:col>18</xdr:col>
                    <xdr:colOff>0</xdr:colOff>
                    <xdr:row>153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8" r:id="rId165" name="Check Box 200">
              <controlPr defaultSize="0" autoFill="0" autoLine="0" autoPict="0">
                <anchor moveWithCells="1">
                  <from>
                    <xdr:col>12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9" r:id="rId166" name="Check Box 201">
              <controlPr defaultSize="0" autoFill="0" autoLine="0" autoPict="0">
                <anchor moveWithCells="1">
                  <from>
                    <xdr:col>12</xdr:col>
                    <xdr:colOff>0</xdr:colOff>
                    <xdr:row>154</xdr:row>
                    <xdr:rowOff>0</xdr:rowOff>
                  </from>
                  <to>
                    <xdr:col>18</xdr:col>
                    <xdr:colOff>0</xdr:colOff>
                    <xdr:row>155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0" r:id="rId167" name="Check Box 202">
              <controlPr defaultSize="0" autoFill="0" autoLine="0" autoPict="0">
                <anchor moveWithCells="1">
                  <from>
                    <xdr:col>12</xdr:col>
                    <xdr:colOff>0</xdr:colOff>
                    <xdr:row>155</xdr:row>
                    <xdr:rowOff>0</xdr:rowOff>
                  </from>
                  <to>
                    <xdr:col>18</xdr:col>
                    <xdr:colOff>0</xdr:colOff>
                    <xdr:row>156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1" r:id="rId168" name="Check Box 203">
              <controlPr defaultSize="0" autoFill="0" autoLine="0" autoPict="0">
                <anchor moveWithCells="1">
                  <from>
                    <xdr:col>12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2" r:id="rId169" name="Check Box 204">
              <controlPr defaultSize="0" autoFill="0" autoLine="0" autoPict="0">
                <anchor moveWithCells="1">
                  <from>
                    <xdr:col>12</xdr:col>
                    <xdr:colOff>0</xdr:colOff>
                    <xdr:row>157</xdr:row>
                    <xdr:rowOff>0</xdr:rowOff>
                  </from>
                  <to>
                    <xdr:col>18</xdr:col>
                    <xdr:colOff>0</xdr:colOff>
                    <xdr:row>158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3" r:id="rId170" name="Check Box 205">
              <controlPr defaultSize="0" autoFill="0" autoLine="0" autoPict="0">
                <anchor moveWithCells="1">
                  <from>
                    <xdr:col>12</xdr:col>
                    <xdr:colOff>0</xdr:colOff>
                    <xdr:row>158</xdr:row>
                    <xdr:rowOff>0</xdr:rowOff>
                  </from>
                  <to>
                    <xdr:col>18</xdr:col>
                    <xdr:colOff>0</xdr:colOff>
                    <xdr:row>159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4" r:id="rId171" name="Check Box 206">
              <controlPr defaultSize="0" autoFill="0" autoLine="0" autoPict="0">
                <anchor moveWithCells="1">
                  <from>
                    <xdr:col>12</xdr:col>
                    <xdr:colOff>0</xdr:colOff>
                    <xdr:row>159</xdr:row>
                    <xdr:rowOff>0</xdr:rowOff>
                  </from>
                  <to>
                    <xdr:col>18</xdr:col>
                    <xdr:colOff>0</xdr:colOff>
                    <xdr:row>160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5" r:id="rId172" name="Check Box 207">
              <controlPr defaultSize="0" autoFill="0" autoLine="0" autoPict="0">
                <anchor moveWithCells="1">
                  <from>
                    <xdr:col>12</xdr:col>
                    <xdr:colOff>0</xdr:colOff>
                    <xdr:row>160</xdr:row>
                    <xdr:rowOff>0</xdr:rowOff>
                  </from>
                  <to>
                    <xdr:col>18</xdr:col>
                    <xdr:colOff>0</xdr:colOff>
                    <xdr:row>161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6" r:id="rId173" name="Check Box 208">
              <controlPr defaultSize="0" autoFill="0" autoLine="0" autoPict="0">
                <anchor moveWithCells="1">
                  <from>
                    <xdr:col>12</xdr:col>
                    <xdr:colOff>0</xdr:colOff>
                    <xdr:row>161</xdr:row>
                    <xdr:rowOff>0</xdr:rowOff>
                  </from>
                  <to>
                    <xdr:col>18</xdr:col>
                    <xdr:colOff>0</xdr:colOff>
                    <xdr:row>162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7" r:id="rId174" name="Check Box 209">
              <controlPr defaultSize="0" autoFill="0" autoLine="0" autoPict="0">
                <anchor moveWithCells="1">
                  <from>
                    <xdr:col>12</xdr:col>
                    <xdr:colOff>0</xdr:colOff>
                    <xdr:row>162</xdr:row>
                    <xdr:rowOff>0</xdr:rowOff>
                  </from>
                  <to>
                    <xdr:col>18</xdr:col>
                    <xdr:colOff>0</xdr:colOff>
                    <xdr:row>163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8" r:id="rId175" name="Check Box 210">
              <controlPr defaultSize="0" autoFill="0" autoLine="0" autoPict="0">
                <anchor moveWithCells="1">
                  <from>
                    <xdr:col>12</xdr:col>
                    <xdr:colOff>0</xdr:colOff>
                    <xdr:row>163</xdr:row>
                    <xdr:rowOff>0</xdr:rowOff>
                  </from>
                  <to>
                    <xdr:col>18</xdr:col>
                    <xdr:colOff>0</xdr:colOff>
                    <xdr:row>164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9" r:id="rId176" name="Check Box 211">
              <controlPr defaultSize="0" autoFill="0" autoLine="0" autoPict="0">
                <anchor moveWithCells="1">
                  <from>
                    <xdr:col>12</xdr:col>
                    <xdr:colOff>0</xdr:colOff>
                    <xdr:row>164</xdr:row>
                    <xdr:rowOff>0</xdr:rowOff>
                  </from>
                  <to>
                    <xdr:col>18</xdr:col>
                    <xdr:colOff>0</xdr:colOff>
                    <xdr:row>165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0" r:id="rId177" name="Check Box 212">
              <controlPr defaultSize="0" autoFill="0" autoLine="0" autoPict="0">
                <anchor moveWithCells="1">
                  <from>
                    <xdr:col>12</xdr:col>
                    <xdr:colOff>0</xdr:colOff>
                    <xdr:row>165</xdr:row>
                    <xdr:rowOff>0</xdr:rowOff>
                  </from>
                  <to>
                    <xdr:col>18</xdr:col>
                    <xdr:colOff>0</xdr:colOff>
                    <xdr:row>166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1" r:id="rId178" name="Check Box 213">
              <controlPr defaultSize="0" autoFill="0" autoLine="0" autoPict="0">
                <anchor moveWithCells="1">
                  <from>
                    <xdr:col>12</xdr:col>
                    <xdr:colOff>0</xdr:colOff>
                    <xdr:row>166</xdr:row>
                    <xdr:rowOff>0</xdr:rowOff>
                  </from>
                  <to>
                    <xdr:col>18</xdr:col>
                    <xdr:colOff>0</xdr:colOff>
                    <xdr:row>167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2" r:id="rId179" name="Check Box 214">
              <controlPr defaultSize="0" autoFill="0" autoLine="0" autoPict="0">
                <anchor moveWithCells="1">
                  <from>
                    <xdr:col>12</xdr:col>
                    <xdr:colOff>0</xdr:colOff>
                    <xdr:row>167</xdr:row>
                    <xdr:rowOff>0</xdr:rowOff>
                  </from>
                  <to>
                    <xdr:col>18</xdr:col>
                    <xdr:colOff>0</xdr:colOff>
                    <xdr:row>168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3" r:id="rId180" name="Check Box 215">
              <controlPr defaultSize="0" autoFill="0" autoLine="0" autoPict="0">
                <anchor moveWithCells="1">
                  <from>
                    <xdr:col>12</xdr:col>
                    <xdr:colOff>0</xdr:colOff>
                    <xdr:row>168</xdr:row>
                    <xdr:rowOff>0</xdr:rowOff>
                  </from>
                  <to>
                    <xdr:col>18</xdr:col>
                    <xdr:colOff>0</xdr:colOff>
                    <xdr:row>169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4" r:id="rId181" name="Check Box 216">
              <controlPr defaultSize="0" autoFill="0" autoLine="0" autoPict="0">
                <anchor moveWithCells="1">
                  <from>
                    <xdr:col>12</xdr:col>
                    <xdr:colOff>0</xdr:colOff>
                    <xdr:row>169</xdr:row>
                    <xdr:rowOff>0</xdr:rowOff>
                  </from>
                  <to>
                    <xdr:col>18</xdr:col>
                    <xdr:colOff>0</xdr:colOff>
                    <xdr:row>170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5" r:id="rId182" name="Check Box 217">
              <controlPr defaultSize="0" autoFill="0" autoLine="0" autoPict="0">
                <anchor moveWithCells="1">
                  <from>
                    <xdr:col>12</xdr:col>
                    <xdr:colOff>0</xdr:colOff>
                    <xdr:row>170</xdr:row>
                    <xdr:rowOff>0</xdr:rowOff>
                  </from>
                  <to>
                    <xdr:col>18</xdr:col>
                    <xdr:colOff>0</xdr:colOff>
                    <xdr:row>171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6" r:id="rId183" name="Check Box 218">
              <controlPr defaultSize="0" autoFill="0" autoLine="0" autoPict="0">
                <anchor moveWithCells="1">
                  <from>
                    <xdr:col>12</xdr:col>
                    <xdr:colOff>0</xdr:colOff>
                    <xdr:row>171</xdr:row>
                    <xdr:rowOff>0</xdr:rowOff>
                  </from>
                  <to>
                    <xdr:col>18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7" r:id="rId184" name="Check Box 219">
              <controlPr defaultSize="0" autoFill="0" autoLine="0" autoPict="0">
                <anchor moveWithCells="1">
                  <from>
                    <xdr:col>12</xdr:col>
                    <xdr:colOff>0</xdr:colOff>
                    <xdr:row>172</xdr:row>
                    <xdr:rowOff>0</xdr:rowOff>
                  </from>
                  <to>
                    <xdr:col>18</xdr:col>
                    <xdr:colOff>0</xdr:colOff>
                    <xdr:row>173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8" r:id="rId185" name="Check Box 220">
              <controlPr defaultSize="0" autoFill="0" autoLine="0" autoPict="0">
                <anchor moveWithCells="1">
                  <from>
                    <xdr:col>12</xdr:col>
                    <xdr:colOff>0</xdr:colOff>
                    <xdr:row>173</xdr:row>
                    <xdr:rowOff>0</xdr:rowOff>
                  </from>
                  <to>
                    <xdr:col>18</xdr:col>
                    <xdr:colOff>0</xdr:colOff>
                    <xdr:row>174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9" r:id="rId186" name="Check Box 221">
              <controlPr defaultSize="0" autoFill="0" autoLine="0" autoPict="0">
                <anchor moveWithCells="1">
                  <from>
                    <xdr:col>12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0" r:id="rId187" name="Check Box 222">
              <controlPr defaultSize="0" autoFill="0" autoLine="0" autoPict="0">
                <anchor moveWithCells="1">
                  <from>
                    <xdr:col>12</xdr:col>
                    <xdr:colOff>0</xdr:colOff>
                    <xdr:row>175</xdr:row>
                    <xdr:rowOff>0</xdr:rowOff>
                  </from>
                  <to>
                    <xdr:col>18</xdr:col>
                    <xdr:colOff>0</xdr:colOff>
                    <xdr:row>176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1" r:id="rId188" name="Check Box 223">
              <controlPr defaultSize="0" autoFill="0" autoLine="0" autoPict="0">
                <anchor moveWithCells="1">
                  <from>
                    <xdr:col>12</xdr:col>
                    <xdr:colOff>0</xdr:colOff>
                    <xdr:row>176</xdr:row>
                    <xdr:rowOff>0</xdr:rowOff>
                  </from>
                  <to>
                    <xdr:col>18</xdr:col>
                    <xdr:colOff>0</xdr:colOff>
                    <xdr:row>177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2" r:id="rId189" name="Check Box 224">
              <controlPr defaultSize="0" autoFill="0" autoLine="0" autoPict="0">
                <anchor moveWithCells="1">
                  <from>
                    <xdr:col>12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3" r:id="rId190" name="Check Box 225">
              <controlPr defaultSize="0" autoFill="0" autoLine="0" autoPict="0">
                <anchor moveWithCells="1">
                  <from>
                    <xdr:col>12</xdr:col>
                    <xdr:colOff>0</xdr:colOff>
                    <xdr:row>178</xdr:row>
                    <xdr:rowOff>0</xdr:rowOff>
                  </from>
                  <to>
                    <xdr:col>18</xdr:col>
                    <xdr:colOff>0</xdr:colOff>
                    <xdr:row>179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4" r:id="rId191" name="Check Box 226">
              <controlPr defaultSize="0" autoFill="0" autoLine="0" autoPict="0">
                <anchor moveWithCells="1">
                  <from>
                    <xdr:col>12</xdr:col>
                    <xdr:colOff>0</xdr:colOff>
                    <xdr:row>179</xdr:row>
                    <xdr:rowOff>0</xdr:rowOff>
                  </from>
                  <to>
                    <xdr:col>18</xdr:col>
                    <xdr:colOff>0</xdr:colOff>
                    <xdr:row>180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5" r:id="rId192" name="Check Box 227">
              <controlPr defaultSize="0" autoFill="0" autoLine="0" autoPict="0">
                <anchor moveWithCells="1">
                  <from>
                    <xdr:col>12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6" r:id="rId193" name="Check Box 228">
              <controlPr defaultSize="0" autoFill="0" autoLine="0" autoPict="0">
                <anchor moveWithCells="1">
                  <from>
                    <xdr:col>12</xdr:col>
                    <xdr:colOff>0</xdr:colOff>
                    <xdr:row>181</xdr:row>
                    <xdr:rowOff>0</xdr:rowOff>
                  </from>
                  <to>
                    <xdr:col>18</xdr:col>
                    <xdr:colOff>0</xdr:colOff>
                    <xdr:row>182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7" r:id="rId194" name="Check Box 229">
              <controlPr defaultSize="0" autoFill="0" autoLine="0" autoPict="0">
                <anchor moveWithCells="1">
                  <from>
                    <xdr:col>12</xdr:col>
                    <xdr:colOff>0</xdr:colOff>
                    <xdr:row>182</xdr:row>
                    <xdr:rowOff>0</xdr:rowOff>
                  </from>
                  <to>
                    <xdr:col>18</xdr:col>
                    <xdr:colOff>0</xdr:colOff>
                    <xdr:row>183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8" r:id="rId195" name="Check Box 230">
              <controlPr defaultSize="0" autoFill="0" autoLine="0" autoPict="0">
                <anchor moveWithCells="1">
                  <from>
                    <xdr:col>12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9" r:id="rId196" name="Check Box 231">
              <controlPr defaultSize="0" autoFill="0" autoLine="0" autoPict="0">
                <anchor moveWithCells="1">
                  <from>
                    <xdr:col>12</xdr:col>
                    <xdr:colOff>0</xdr:colOff>
                    <xdr:row>184</xdr:row>
                    <xdr:rowOff>0</xdr:rowOff>
                  </from>
                  <to>
                    <xdr:col>18</xdr:col>
                    <xdr:colOff>0</xdr:colOff>
                    <xdr:row>185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0" r:id="rId197" name="Check Box 232">
              <controlPr defaultSize="0" autoFill="0" autoLine="0" autoPict="0">
                <anchor moveWithCells="1">
                  <from>
                    <xdr:col>12</xdr:col>
                    <xdr:colOff>0</xdr:colOff>
                    <xdr:row>185</xdr:row>
                    <xdr:rowOff>0</xdr:rowOff>
                  </from>
                  <to>
                    <xdr:col>18</xdr:col>
                    <xdr:colOff>0</xdr:colOff>
                    <xdr:row>186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1" r:id="rId198" name="Check Box 233">
              <controlPr defaultSize="0" autoFill="0" autoLine="0" autoPict="0">
                <anchor moveWithCells="1">
                  <from>
                    <xdr:col>12</xdr:col>
                    <xdr:colOff>0</xdr:colOff>
                    <xdr:row>186</xdr:row>
                    <xdr:rowOff>0</xdr:rowOff>
                  </from>
                  <to>
                    <xdr:col>18</xdr:col>
                    <xdr:colOff>0</xdr:colOff>
                    <xdr:row>187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2" r:id="rId199" name="Check Box 234">
              <controlPr defaultSize="0" autoFill="0" autoLine="0" autoPict="0">
                <anchor moveWithCells="1">
                  <from>
                    <xdr:col>12</xdr:col>
                    <xdr:colOff>0</xdr:colOff>
                    <xdr:row>187</xdr:row>
                    <xdr:rowOff>0</xdr:rowOff>
                  </from>
                  <to>
                    <xdr:col>18</xdr:col>
                    <xdr:colOff>0</xdr:colOff>
                    <xdr:row>188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3" r:id="rId200" name="Check Box 235">
              <controlPr defaultSize="0" autoFill="0" autoLine="0" autoPict="0">
                <anchor moveWithCells="1">
                  <from>
                    <xdr:col>12</xdr:col>
                    <xdr:colOff>0</xdr:colOff>
                    <xdr:row>188</xdr:row>
                    <xdr:rowOff>0</xdr:rowOff>
                  </from>
                  <to>
                    <xdr:col>18</xdr:col>
                    <xdr:colOff>0</xdr:colOff>
                    <xdr:row>189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4" r:id="rId201" name="Check Box 236">
              <controlPr defaultSize="0" autoFill="0" autoLine="0" autoPict="0">
                <anchor moveWithCells="1">
                  <from>
                    <xdr:col>12</xdr:col>
                    <xdr:colOff>0</xdr:colOff>
                    <xdr:row>189</xdr:row>
                    <xdr:rowOff>0</xdr:rowOff>
                  </from>
                  <to>
                    <xdr:col>18</xdr:col>
                    <xdr:colOff>0</xdr:colOff>
                    <xdr:row>190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5" r:id="rId202" name="Check Box 237">
              <controlPr defaultSize="0" autoFill="0" autoLine="0" autoPict="0">
                <anchor moveWithCells="1">
                  <from>
                    <xdr:col>12</xdr:col>
                    <xdr:colOff>0</xdr:colOff>
                    <xdr:row>190</xdr:row>
                    <xdr:rowOff>0</xdr:rowOff>
                  </from>
                  <to>
                    <xdr:col>18</xdr:col>
                    <xdr:colOff>0</xdr:colOff>
                    <xdr:row>191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6" r:id="rId203" name="Check Box 238">
              <controlPr defaultSize="0" autoFill="0" autoLine="0" autoPict="0">
                <anchor moveWithCells="1">
                  <from>
                    <xdr:col>12</xdr:col>
                    <xdr:colOff>0</xdr:colOff>
                    <xdr:row>191</xdr:row>
                    <xdr:rowOff>0</xdr:rowOff>
                  </from>
                  <to>
                    <xdr:col>18</xdr:col>
                    <xdr:colOff>0</xdr:colOff>
                    <xdr:row>192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7" r:id="rId204" name="Check Box 239">
              <controlPr defaultSize="0" autoFill="0" autoLine="0" autoPict="0">
                <anchor moveWithCells="1">
                  <from>
                    <xdr:col>12</xdr:col>
                    <xdr:colOff>0</xdr:colOff>
                    <xdr:row>192</xdr:row>
                    <xdr:rowOff>0</xdr:rowOff>
                  </from>
                  <to>
                    <xdr:col>18</xdr:col>
                    <xdr:colOff>0</xdr:colOff>
                    <xdr:row>193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8" r:id="rId205" name="Check Box 240">
              <controlPr defaultSize="0" autoFill="0" autoLine="0" autoPict="0">
                <anchor moveWithCells="1">
                  <from>
                    <xdr:col>12</xdr:col>
                    <xdr:colOff>0</xdr:colOff>
                    <xdr:row>193</xdr:row>
                    <xdr:rowOff>0</xdr:rowOff>
                  </from>
                  <to>
                    <xdr:col>18</xdr:col>
                    <xdr:colOff>0</xdr:colOff>
                    <xdr:row>194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9" r:id="rId206" name="Check Box 241">
              <controlPr defaultSize="0" autoFill="0" autoLine="0" autoPict="0">
                <anchor moveWithCells="1">
                  <from>
                    <xdr:col>12</xdr:col>
                    <xdr:colOff>0</xdr:colOff>
                    <xdr:row>194</xdr:row>
                    <xdr:rowOff>0</xdr:rowOff>
                  </from>
                  <to>
                    <xdr:col>18</xdr:col>
                    <xdr:colOff>0</xdr:colOff>
                    <xdr:row>195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0" r:id="rId207" name="Check Box 242">
              <controlPr defaultSize="0" autoFill="0" autoLine="0" autoPict="0">
                <anchor moveWithCells="1">
                  <from>
                    <xdr:col>12</xdr:col>
                    <xdr:colOff>0</xdr:colOff>
                    <xdr:row>195</xdr:row>
                    <xdr:rowOff>0</xdr:rowOff>
                  </from>
                  <to>
                    <xdr:col>18</xdr:col>
                    <xdr:colOff>0</xdr:colOff>
                    <xdr:row>196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1" r:id="rId208" name="Check Box 243">
              <controlPr defaultSize="0" autoFill="0" autoLine="0" autoPict="0">
                <anchor moveWithCells="1">
                  <from>
                    <xdr:col>12</xdr:col>
                    <xdr:colOff>0</xdr:colOff>
                    <xdr:row>196</xdr:row>
                    <xdr:rowOff>0</xdr:rowOff>
                  </from>
                  <to>
                    <xdr:col>18</xdr:col>
                    <xdr:colOff>0</xdr:colOff>
                    <xdr:row>197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2" r:id="rId209" name="Check Box 244">
              <controlPr defaultSize="0" autoFill="0" autoLine="0" autoPict="0">
                <anchor moveWithCells="1">
                  <from>
                    <xdr:col>12</xdr:col>
                    <xdr:colOff>0</xdr:colOff>
                    <xdr:row>197</xdr:row>
                    <xdr:rowOff>0</xdr:rowOff>
                  </from>
                  <to>
                    <xdr:col>18</xdr:col>
                    <xdr:colOff>0</xdr:colOff>
                    <xdr:row>198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3" r:id="rId210" name="Check Box 245">
              <controlPr defaultSize="0" autoFill="0" autoLine="0" autoPict="0">
                <anchor moveWithCells="1">
                  <from>
                    <xdr:col>12</xdr:col>
                    <xdr:colOff>0</xdr:colOff>
                    <xdr:row>198</xdr:row>
                    <xdr:rowOff>0</xdr:rowOff>
                  </from>
                  <to>
                    <xdr:col>18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4" r:id="rId211" name="Check Box 246">
              <controlPr defaultSize="0" autoFill="0" autoLine="0" autoPict="0">
                <anchor moveWithCells="1">
                  <from>
                    <xdr:col>16</xdr:col>
                    <xdr:colOff>790575</xdr:colOff>
                    <xdr:row>23</xdr:row>
                    <xdr:rowOff>180975</xdr:rowOff>
                  </from>
                  <to>
                    <xdr:col>18</xdr:col>
                    <xdr:colOff>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5" r:id="rId212" name="Check Box 247">
              <controlPr defaultSize="0" autoFill="0" autoLine="0" autoPict="0">
                <anchor moveWithCells="1">
                  <from>
                    <xdr:col>12</xdr:col>
                    <xdr:colOff>0</xdr:colOff>
                    <xdr:row>75</xdr:row>
                    <xdr:rowOff>171450</xdr:rowOff>
                  </from>
                  <to>
                    <xdr:col>18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6" r:id="rId213" name="Check Box 248">
              <controlPr defaultSize="0" autoFill="0" autoLine="0" autoPict="0">
                <anchor moveWithCells="1">
                  <from>
                    <xdr:col>12</xdr:col>
                    <xdr:colOff>0</xdr:colOff>
                    <xdr:row>76</xdr:row>
                    <xdr:rowOff>171450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7" r:id="rId214" name="Check Box 249">
              <controlPr defaultSize="0" autoFill="0" autoLine="0" autoPict="0">
                <anchor moveWithCells="1">
                  <from>
                    <xdr:col>12</xdr:col>
                    <xdr:colOff>0</xdr:colOff>
                    <xdr:row>77</xdr:row>
                    <xdr:rowOff>171450</xdr:rowOff>
                  </from>
                  <to>
                    <xdr:col>18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8" r:id="rId215" name="Check Box 250">
              <controlPr defaultSize="0" autoFill="0" autoLine="0" autoPict="0">
                <anchor moveWithCells="1">
                  <from>
                    <xdr:col>12</xdr:col>
                    <xdr:colOff>0</xdr:colOff>
                    <xdr:row>78</xdr:row>
                    <xdr:rowOff>171450</xdr:rowOff>
                  </from>
                  <to>
                    <xdr:col>18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9" r:id="rId216" name="Check Box 251">
              <controlPr defaultSize="0" autoFill="0" autoLine="0" autoPict="0">
                <anchor moveWithCells="1">
                  <from>
                    <xdr:col>12</xdr:col>
                    <xdr:colOff>0</xdr:colOff>
                    <xdr:row>79</xdr:row>
                    <xdr:rowOff>171450</xdr:rowOff>
                  </from>
                  <to>
                    <xdr:col>18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0" r:id="rId217" name="Check Box 252">
              <controlPr defaultSize="0" autoFill="0" autoLine="0" autoPict="0">
                <anchor moveWithCells="1">
                  <from>
                    <xdr:col>12</xdr:col>
                    <xdr:colOff>0</xdr:colOff>
                    <xdr:row>80</xdr:row>
                    <xdr:rowOff>171450</xdr:rowOff>
                  </from>
                  <to>
                    <xdr:col>18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1" r:id="rId218" name="Check Box 253">
              <controlPr defaultSize="0" autoFill="0" autoLine="0" autoPict="0">
                <anchor moveWithCells="1">
                  <from>
                    <xdr:col>12</xdr:col>
                    <xdr:colOff>0</xdr:colOff>
                    <xdr:row>81</xdr:row>
                    <xdr:rowOff>171450</xdr:rowOff>
                  </from>
                  <to>
                    <xdr:col>18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2" r:id="rId219" name="Check Box 254">
              <controlPr defaultSize="0" autoFill="0" autoLine="0" autoPict="0">
                <anchor moveWithCells="1">
                  <from>
                    <xdr:col>12</xdr:col>
                    <xdr:colOff>0</xdr:colOff>
                    <xdr:row>82</xdr:row>
                    <xdr:rowOff>171450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3" r:id="rId220" name="Check Box 255">
              <controlPr defaultSize="0" autoFill="0" autoLine="0" autoPict="0">
                <anchor moveWithCells="1">
                  <from>
                    <xdr:col>12</xdr:col>
                    <xdr:colOff>0</xdr:colOff>
                    <xdr:row>83</xdr:row>
                    <xdr:rowOff>171450</xdr:rowOff>
                  </from>
                  <to>
                    <xdr:col>18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4" r:id="rId221" name="Button 256">
              <controlPr defaultSize="0" print="0" autoFill="0" autoPict="0" macro="[0]!Сброс_галочек">
                <anchor moveWithCells="1" sizeWithCells="1">
                  <from>
                    <xdr:col>18</xdr:col>
                    <xdr:colOff>428625</xdr:colOff>
                    <xdr:row>1</xdr:row>
                    <xdr:rowOff>47625</xdr:rowOff>
                  </from>
                  <to>
                    <xdr:col>21</xdr:col>
                    <xdr:colOff>209550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31" r:id="rId222" name="Check Box 263">
              <controlPr defaultSize="0" autoFill="0" autoLine="0" autoPict="0">
                <anchor moveWithCells="1">
                  <from>
                    <xdr:col>17</xdr:col>
                    <xdr:colOff>0</xdr:colOff>
                    <xdr:row>6</xdr:row>
                    <xdr:rowOff>0</xdr:rowOff>
                  </from>
                  <to>
                    <xdr:col>18</xdr:col>
                    <xdr:colOff>390525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32" r:id="rId223" name="Check Box 264">
              <controlPr defaultSize="0" autoFill="0" autoLine="0" autoPict="0">
                <anchor moveWithCells="1">
                  <from>
                    <xdr:col>17</xdr:col>
                    <xdr:colOff>0</xdr:colOff>
                    <xdr:row>7</xdr:row>
                    <xdr:rowOff>0</xdr:rowOff>
                  </from>
                  <to>
                    <xdr:col>18</xdr:col>
                    <xdr:colOff>390525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22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Список дел</vt:lpstr>
      <vt:lpstr>'Список дел'!Область_печати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Нестеров Владимир</dc:creator>
  <cp:lastModifiedBy>Nesterovs_family</cp:lastModifiedBy>
  <cp:lastPrinted>2022-11-02T06:30:31Z</cp:lastPrinted>
  <dcterms:created xsi:type="dcterms:W3CDTF">2021-07-09T06:11:58Z</dcterms:created>
  <dcterms:modified xsi:type="dcterms:W3CDTF">2023-02-11T16:51:37Z</dcterms:modified>
</cp:coreProperties>
</file>